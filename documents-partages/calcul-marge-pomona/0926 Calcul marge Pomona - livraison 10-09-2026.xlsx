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erge" sheetId="1" state="visible" r:id="rId3"/>
    <sheet name="10" sheetId="2" state="visible" r:id="rId5"/>
  </sheets>
  <calcPr iterateCount="100" refMode="A1" iterate="false" iterateDelta="0.0001" fullCalcOnLoad="true" forceFullCalc="true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<sst xmlns="http://schemas.openxmlformats.org/spreadsheetml/2006/main" count="10" uniqueCount="9">
  <si>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Produit</t>
  </si>
  <si>
    <t xml:space="preserve">PA base</t>
  </si>
  <si>
    <t xml:space="preserve">PA direct</t>
  </si>
  <si>
    <t xml:space="preserve">PV préco base</t>
  </si>
  <si>
    <t xml:space="preserve">PV magasin</t>
  </si>
  <si>
    <t xml:space="preserve">Quantité</t>
  </si>
  <si>
    <t xml:space="preserve">Marge servi base</t>
  </si>
  <si>
    <t xml:space="preserve">Marge servi direct</t>
  </si>
  <si>
    <t xml:space="preserve">Marge servi Direct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</si>
</sst>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0.6796875" defaultRowHeight="15" customHeight="false" zeroHeight="false" outlineLevelRow="0" outlineLevelCol="0"/>
  <sheetData>
    <row r="1" customFormat="false" ht="15" hidden="false" customHeight="true" outlineLevel="0" collapsed="false">
      <c r="A1" s="1"/>
      <c r="B1" s="2" t="e">
        <f aca="false">AVERAGE(B4:B38)</f>
        <v>#DIV/0!</v>
      </c>
      <c r="C1" s="2" t="e">
        <f aca="false">AVERAGE(C4:C30)</f>
        <v>#DIV/0!</v>
      </c>
      <c r="D1" s="2" t="e">
        <f aca="false">AVERAGE(D4:D60)</f>
        <v>#DIV/0!</v>
      </c>
      <c r="E1" s="2" t="e">
        <f aca="false">AVERAGE(E4:E60)</f>
        <v>#DIV/0!</v>
      </c>
      <c r="F1" s="1" t="n">
        <f aca="false">SUM(F4:F50)</f>
        <v>0</v>
      </c>
      <c r="G1" s="1" t="e">
        <f aca="false">D1-E1</f>
        <v>#DIV/0!</v>
      </c>
    </row>
    <row r="2" customFormat="false" ht="1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5" t="s">
        <v>8</v>
      </c>
      <c r="J2" s="5"/>
      <c r="K2" s="5"/>
      <c r="L2" s="5"/>
      <c r="M2" s="5"/>
      <c r="N2" s="5" t="s">
        <v>6</v>
      </c>
      <c r="O2" s="5"/>
      <c r="P2" s="5"/>
      <c r="Q2" s="5"/>
      <c r="R2" s="5"/>
    </row>
    <row r="3" customFormat="false" ht="15" hidden="false" customHeight="true" outlineLevel="0" collapsed="false">
      <c r="G3" s="2" t="e">
        <f aca="false">Q3/R3</f>
        <v>#DIV/0!</v>
      </c>
      <c r="H3" s="2" t="e">
        <f aca="false">L3/M3</f>
        <v>#DIV/0!</v>
      </c>
      <c r="I3" s="5" t="n">
        <f aca="false">SUM(I4:I50)</f>
        <v>0</v>
      </c>
      <c r="J3" s="5" t="n">
        <f aca="false">SUM(J4:J50)</f>
        <v>0</v>
      </c>
      <c r="K3" s="5" t="n">
        <f aca="false">SUM(K4:K50)</f>
        <v>0</v>
      </c>
      <c r="L3" s="5" t="n">
        <f aca="false">SUM(L4:L50)</f>
        <v>0</v>
      </c>
      <c r="M3" s="5" t="n">
        <f aca="false">SUM(M4:M50)</f>
        <v>0</v>
      </c>
      <c r="N3" s="5" t="n">
        <f aca="false">SUM(N4:N50)</f>
        <v>0</v>
      </c>
      <c r="O3" s="5" t="n">
        <f aca="false">SUM(O4:O50)</f>
        <v>0</v>
      </c>
      <c r="P3" s="5" t="n">
        <f aca="false">SUM(P4:P50)</f>
        <v>0</v>
      </c>
      <c r="Q3" s="5" t="n">
        <f aca="false">SUM(Q4:Q50)</f>
        <v>0</v>
      </c>
      <c r="R3" s="5" t="n">
        <f aca="false">SUM(R4:R50)</f>
        <v>0</v>
      </c>
    </row>
    <row r="4" customFormat="false" ht="15" hidden="false" customHeight="true" outlineLevel="0" collapsed="false">
      <c r="G4" s="1" t="e">
        <f aca="false">Q4/R4</f>
        <v>#DIV/0!</v>
      </c>
      <c r="H4" s="1" t="e">
        <f aca="false">L4/M4</f>
        <v>#DIV/0!</v>
      </c>
      <c r="I4" s="3" t="n">
        <f aca="false">E4/1.055</f>
        <v>0</v>
      </c>
      <c r="J4" s="3" t="n">
        <f aca="false">I4-C4</f>
        <v>0</v>
      </c>
      <c r="K4" s="3" t="n">
        <f aca="false">J4*F4</f>
        <v>0</v>
      </c>
      <c r="L4" s="3" t="n">
        <f aca="false">K4*100</f>
        <v>0</v>
      </c>
      <c r="M4" s="3" t="n">
        <f aca="false">E4*F4</f>
        <v>0</v>
      </c>
      <c r="N4" s="3" t="n">
        <f aca="false">D4/1.055</f>
        <v>0</v>
      </c>
      <c r="O4" s="3" t="n">
        <f aca="false">N4-B4</f>
        <v>0</v>
      </c>
      <c r="P4" s="3" t="n">
        <f aca="false">O4*F4</f>
        <v>0</v>
      </c>
      <c r="Q4" s="3" t="n">
        <f aca="false">P4*100</f>
        <v>0</v>
      </c>
      <c r="R4" s="3" t="n">
        <f aca="false">D4*F4</f>
        <v>0</v>
      </c>
    </row>
    <row r="5" customFormat="false" ht="15" hidden="false" customHeight="true" outlineLevel="0" collapsed="false">
      <c r="G5" s="1" t="e">
        <f aca="false">Q5/R5</f>
        <v>#DIV/0!</v>
      </c>
      <c r="H5" s="1" t="e">
        <f aca="false">L5/M5</f>
        <v>#DIV/0!</v>
      </c>
      <c r="I5" s="3" t="n">
        <f aca="false">E5/1.055</f>
        <v>0</v>
      </c>
      <c r="J5" s="3" t="n">
        <f aca="false">I5-C5</f>
        <v>0</v>
      </c>
      <c r="K5" s="3" t="n">
        <f aca="false">J5*F5</f>
        <v>0</v>
      </c>
      <c r="L5" s="3" t="n">
        <f aca="false">K5*100</f>
        <v>0</v>
      </c>
      <c r="M5" s="3" t="n">
        <f aca="false">E5*F5</f>
        <v>0</v>
      </c>
      <c r="N5" s="3" t="n">
        <f aca="false">D5/1.055</f>
        <v>0</v>
      </c>
      <c r="O5" s="3" t="n">
        <f aca="false">N5-B5</f>
        <v>0</v>
      </c>
      <c r="P5" s="3" t="n">
        <f aca="false">O5*F5</f>
        <v>0</v>
      </c>
      <c r="Q5" s="3" t="n">
        <f aca="false">P5*100</f>
        <v>0</v>
      </c>
      <c r="R5" s="3" t="n">
        <f aca="false">D5*F5</f>
        <v>0</v>
      </c>
    </row>
    <row r="6" customFormat="false" ht="15" hidden="false" customHeight="true" outlineLevel="0" collapsed="false">
      <c r="G6" s="1" t="e">
        <f aca="false">Q6/R6</f>
        <v>#DIV/0!</v>
      </c>
      <c r="H6" s="1" t="e">
        <f aca="false">L6/M6</f>
        <v>#DIV/0!</v>
      </c>
      <c r="I6" s="3" t="n">
        <f aca="false">E6/1.055</f>
        <v>0</v>
      </c>
      <c r="J6" s="3" t="n">
        <f aca="false">I6-C6</f>
        <v>0</v>
      </c>
      <c r="K6" s="3" t="n">
        <f aca="false">J6*F6</f>
        <v>0</v>
      </c>
      <c r="L6" s="3" t="n">
        <f aca="false">K6*100</f>
        <v>0</v>
      </c>
      <c r="M6" s="3" t="n">
        <f aca="false">E6*F6</f>
        <v>0</v>
      </c>
      <c r="N6" s="3" t="n">
        <f aca="false">D6/1.055</f>
        <v>0</v>
      </c>
      <c r="O6" s="3" t="n">
        <f aca="false">N6-B6</f>
        <v>0</v>
      </c>
      <c r="P6" s="3" t="n">
        <f aca="false">O6*F6</f>
        <v>0</v>
      </c>
      <c r="Q6" s="3" t="n">
        <f aca="false">P6*100</f>
        <v>0</v>
      </c>
      <c r="R6" s="3" t="n">
        <f aca="false">D6*F6</f>
        <v>0</v>
      </c>
    </row>
    <row r="7" customFormat="false" ht="15" hidden="false" customHeight="true" outlineLevel="0" collapsed="false">
      <c r="G7" s="1" t="e">
        <f aca="false">Q7/R7</f>
        <v>#DIV/0!</v>
      </c>
      <c r="H7" s="1" t="e">
        <f aca="false">L7/M7</f>
        <v>#DIV/0!</v>
      </c>
      <c r="I7" s="3" t="n">
        <f aca="false">E7/1.055</f>
        <v>0</v>
      </c>
      <c r="J7" s="3" t="n">
        <f aca="false">I7-C7</f>
        <v>0</v>
      </c>
      <c r="K7" s="3" t="n">
        <f aca="false">J7*F7</f>
        <v>0</v>
      </c>
      <c r="L7" s="3" t="n">
        <f aca="false">K7*100</f>
        <v>0</v>
      </c>
      <c r="M7" s="3" t="n">
        <f aca="false">E7*F7</f>
        <v>0</v>
      </c>
      <c r="N7" s="3" t="n">
        <f aca="false">D7/1.055</f>
        <v>0</v>
      </c>
      <c r="O7" s="3" t="n">
        <f aca="false">N7-B7</f>
        <v>0</v>
      </c>
      <c r="P7" s="3" t="n">
        <f aca="false">O7*F7</f>
        <v>0</v>
      </c>
      <c r="Q7" s="3" t="n">
        <f aca="false">P7*100</f>
        <v>0</v>
      </c>
      <c r="R7" s="3" t="n">
        <f aca="false">D7*F7</f>
        <v>0</v>
      </c>
    </row>
    <row r="8" customFormat="false" ht="15" hidden="false" customHeight="true" outlineLevel="0" collapsed="false">
      <c r="G8" s="1" t="e">
        <f aca="false">Q8/R8</f>
        <v>#DIV/0!</v>
      </c>
      <c r="H8" s="1" t="e">
        <f aca="false">L8/M8</f>
        <v>#DIV/0!</v>
      </c>
      <c r="I8" s="3" t="n">
        <f aca="false">E8/1.055</f>
        <v>0</v>
      </c>
      <c r="J8" s="3" t="n">
        <f aca="false">I8-C8</f>
        <v>0</v>
      </c>
      <c r="K8" s="3" t="n">
        <f aca="false">J8*F8</f>
        <v>0</v>
      </c>
      <c r="L8" s="3" t="n">
        <f aca="false">K8*100</f>
        <v>0</v>
      </c>
      <c r="M8" s="3" t="n">
        <f aca="false">E8*F8</f>
        <v>0</v>
      </c>
      <c r="N8" s="3" t="n">
        <f aca="false">D8/1.055</f>
        <v>0</v>
      </c>
      <c r="O8" s="3" t="n">
        <f aca="false">N8-B8</f>
        <v>0</v>
      </c>
      <c r="P8" s="3" t="n">
        <f aca="false">O8*F8</f>
        <v>0</v>
      </c>
      <c r="Q8" s="3" t="n">
        <f aca="false">P8*100</f>
        <v>0</v>
      </c>
      <c r="R8" s="3" t="n">
        <f aca="false">D8*F8</f>
        <v>0</v>
      </c>
    </row>
    <row r="9" customFormat="false" ht="15" hidden="false" customHeight="true" outlineLevel="0" collapsed="false">
      <c r="G9" s="1" t="e">
        <f aca="false">Q9/R9</f>
        <v>#DIV/0!</v>
      </c>
      <c r="H9" s="1" t="e">
        <f aca="false">L9/M9</f>
        <v>#DIV/0!</v>
      </c>
      <c r="I9" s="3" t="n">
        <f aca="false">E9/1.055</f>
        <v>0</v>
      </c>
      <c r="J9" s="3" t="n">
        <f aca="false">I9-C9</f>
        <v>0</v>
      </c>
      <c r="K9" s="3" t="n">
        <f aca="false">J9*F9</f>
        <v>0</v>
      </c>
      <c r="L9" s="3" t="n">
        <f aca="false">K9*100</f>
        <v>0</v>
      </c>
      <c r="M9" s="3" t="n">
        <f aca="false">E9*F9</f>
        <v>0</v>
      </c>
      <c r="N9" s="3" t="n">
        <f aca="false">D9/1.055</f>
        <v>0</v>
      </c>
      <c r="O9" s="3" t="n">
        <f aca="false">N9-B9</f>
        <v>0</v>
      </c>
      <c r="P9" s="3" t="n">
        <f aca="false">O9*F9</f>
        <v>0</v>
      </c>
      <c r="Q9" s="3" t="n">
        <f aca="false">P9*100</f>
        <v>0</v>
      </c>
      <c r="R9" s="3" t="n">
        <f aca="false">D9*F9</f>
        <v>0</v>
      </c>
    </row>
    <row r="10" customFormat="false" ht="15" hidden="false" customHeight="true" outlineLevel="0" collapsed="false">
      <c r="G10" s="1" t="e">
        <f aca="false">Q10/R10</f>
        <v>#DIV/0!</v>
      </c>
      <c r="H10" s="1" t="e">
        <f aca="false">L10/M10</f>
        <v>#DIV/0!</v>
      </c>
      <c r="I10" s="3" t="n">
        <f aca="false">E10/1.055</f>
        <v>0</v>
      </c>
      <c r="J10" s="3" t="n">
        <f aca="false">I10-C10</f>
        <v>0</v>
      </c>
      <c r="K10" s="3" t="n">
        <f aca="false">J10*F10</f>
        <v>0</v>
      </c>
      <c r="L10" s="3" t="n">
        <f aca="false">K10*100</f>
        <v>0</v>
      </c>
      <c r="M10" s="3" t="n">
        <f aca="false">E10*F10</f>
        <v>0</v>
      </c>
      <c r="N10" s="3" t="n">
        <f aca="false">D10/1.055</f>
        <v>0</v>
      </c>
      <c r="O10" s="3" t="n">
        <f aca="false">N10-B10</f>
        <v>0</v>
      </c>
      <c r="P10" s="3" t="n">
        <f aca="false">O10*F10</f>
        <v>0</v>
      </c>
      <c r="Q10" s="3" t="n">
        <f aca="false">P10*100</f>
        <v>0</v>
      </c>
      <c r="R10" s="3" t="n">
        <f aca="false">D10*F10</f>
        <v>0</v>
      </c>
    </row>
    <row r="11" customFormat="false" ht="15" hidden="false" customHeight="true" outlineLevel="0" collapsed="false">
      <c r="G11" s="1" t="e">
        <f aca="false">Q11/R11</f>
        <v>#DIV/0!</v>
      </c>
      <c r="H11" s="1" t="e">
        <f aca="false">L11/M11</f>
        <v>#DIV/0!</v>
      </c>
      <c r="I11" s="3" t="n">
        <f aca="false">E11/1.055</f>
        <v>0</v>
      </c>
      <c r="J11" s="3" t="n">
        <f aca="false">I11-C11</f>
        <v>0</v>
      </c>
      <c r="K11" s="3" t="n">
        <f aca="false">J11*F11</f>
        <v>0</v>
      </c>
      <c r="L11" s="3" t="n">
        <f aca="false">K11*100</f>
        <v>0</v>
      </c>
      <c r="M11" s="3" t="n">
        <f aca="false">E11*F11</f>
        <v>0</v>
      </c>
      <c r="N11" s="3" t="n">
        <f aca="false">D11/1.055</f>
        <v>0</v>
      </c>
      <c r="O11" s="3" t="n">
        <f aca="false">N11-B11</f>
        <v>0</v>
      </c>
      <c r="P11" s="3" t="n">
        <f aca="false">O11*F11</f>
        <v>0</v>
      </c>
      <c r="Q11" s="3" t="n">
        <f aca="false">P11*100</f>
        <v>0</v>
      </c>
      <c r="R11" s="3" t="n">
        <f aca="false">D11*F11</f>
        <v>0</v>
      </c>
    </row>
    <row r="12" customFormat="false" ht="15" hidden="false" customHeight="true" outlineLevel="0" collapsed="false">
      <c r="G12" s="1" t="e">
        <f aca="false">Q12/R12</f>
        <v>#DIV/0!</v>
      </c>
      <c r="H12" s="1" t="e">
        <f aca="false">L12/M12</f>
        <v>#DIV/0!</v>
      </c>
      <c r="I12" s="3" t="n">
        <f aca="false">E12/1.055</f>
        <v>0</v>
      </c>
      <c r="J12" s="3" t="n">
        <f aca="false">I12-C12</f>
        <v>0</v>
      </c>
      <c r="K12" s="3" t="n">
        <f aca="false">J12*F12</f>
        <v>0</v>
      </c>
      <c r="L12" s="3" t="n">
        <f aca="false">K12*100</f>
        <v>0</v>
      </c>
      <c r="M12" s="3" t="n">
        <f aca="false">E12*F12</f>
        <v>0</v>
      </c>
      <c r="N12" s="3" t="n">
        <f aca="false">D12/1.055</f>
        <v>0</v>
      </c>
      <c r="O12" s="3" t="n">
        <f aca="false">N12-B12</f>
        <v>0</v>
      </c>
      <c r="P12" s="3" t="n">
        <f aca="false">O12*F12</f>
        <v>0</v>
      </c>
      <c r="Q12" s="3" t="n">
        <f aca="false">P12*100</f>
        <v>0</v>
      </c>
      <c r="R12" s="3" t="n">
        <f aca="false">D12*F12</f>
        <v>0</v>
      </c>
    </row>
    <row r="13" customFormat="false" ht="15" hidden="false" customHeight="true" outlineLevel="0" collapsed="false">
      <c r="G13" s="1" t="e">
        <f aca="false">Q13/R13</f>
        <v>#DIV/0!</v>
      </c>
      <c r="H13" s="1" t="e">
        <f aca="false">L13/M13</f>
        <v>#DIV/0!</v>
      </c>
      <c r="I13" s="3" t="n">
        <f aca="false">E13/1.055</f>
        <v>0</v>
      </c>
      <c r="J13" s="3" t="n">
        <f aca="false">I13-C13</f>
        <v>0</v>
      </c>
      <c r="K13" s="3" t="n">
        <f aca="false">J13*F13</f>
        <v>0</v>
      </c>
      <c r="L13" s="3" t="n">
        <f aca="false">K13*100</f>
        <v>0</v>
      </c>
      <c r="M13" s="3" t="n">
        <f aca="false">E13*F13</f>
        <v>0</v>
      </c>
      <c r="N13" s="3" t="n">
        <f aca="false">D13/1.055</f>
        <v>0</v>
      </c>
      <c r="O13" s="3" t="n">
        <f aca="false">N13-B13</f>
        <v>0</v>
      </c>
      <c r="P13" s="3" t="n">
        <f aca="false">O13*F13</f>
        <v>0</v>
      </c>
      <c r="Q13" s="3" t="n">
        <f aca="false">P13*100</f>
        <v>0</v>
      </c>
      <c r="R13" s="3" t="n">
        <f aca="false">D13*F13</f>
        <v>0</v>
      </c>
    </row>
    <row r="14" customFormat="false" ht="15" hidden="false" customHeight="true" outlineLevel="0" collapsed="false">
      <c r="G14" s="1" t="e">
        <f aca="false">Q14/R14</f>
        <v>#DIV/0!</v>
      </c>
      <c r="H14" s="1" t="e">
        <f aca="false">L14/M14</f>
        <v>#DIV/0!</v>
      </c>
      <c r="I14" s="3" t="n">
        <f aca="false">E14/1.055</f>
        <v>0</v>
      </c>
      <c r="J14" s="3" t="n">
        <f aca="false">I14-C14</f>
        <v>0</v>
      </c>
      <c r="K14" s="3" t="n">
        <f aca="false">J14*F14</f>
        <v>0</v>
      </c>
      <c r="L14" s="3" t="n">
        <f aca="false">K14*100</f>
        <v>0</v>
      </c>
      <c r="M14" s="3" t="n">
        <f aca="false">E14*F14</f>
        <v>0</v>
      </c>
      <c r="N14" s="3" t="n">
        <f aca="false">D14/1.055</f>
        <v>0</v>
      </c>
      <c r="O14" s="3" t="n">
        <f aca="false">N14-B14</f>
        <v>0</v>
      </c>
      <c r="P14" s="3" t="n">
        <f aca="false">O14*F14</f>
        <v>0</v>
      </c>
      <c r="Q14" s="3" t="n">
        <f aca="false">P14*100</f>
        <v>0</v>
      </c>
      <c r="R14" s="3" t="n">
        <f aca="false">D14*F14</f>
        <v>0</v>
      </c>
    </row>
    <row r="15" customFormat="false" ht="15" hidden="false" customHeight="true" outlineLevel="0" collapsed="false">
      <c r="G15" s="1" t="e">
        <f aca="false">Q15/R15</f>
        <v>#DIV/0!</v>
      </c>
      <c r="H15" s="1" t="e">
        <f aca="false">L15/M15</f>
        <v>#DIV/0!</v>
      </c>
      <c r="I15" s="3" t="n">
        <f aca="false">E15/1.055</f>
        <v>0</v>
      </c>
      <c r="J15" s="3" t="n">
        <f aca="false">I15-C15</f>
        <v>0</v>
      </c>
      <c r="K15" s="3" t="n">
        <f aca="false">J15*F15</f>
        <v>0</v>
      </c>
      <c r="L15" s="3" t="n">
        <f aca="false">K15*100</f>
        <v>0</v>
      </c>
      <c r="M15" s="3" t="n">
        <f aca="false">E15*F15</f>
        <v>0</v>
      </c>
      <c r="N15" s="3" t="n">
        <f aca="false">D15/1.055</f>
        <v>0</v>
      </c>
      <c r="O15" s="3" t="n">
        <f aca="false">N15-B15</f>
        <v>0</v>
      </c>
      <c r="P15" s="3" t="n">
        <f aca="false">O15*F15</f>
        <v>0</v>
      </c>
      <c r="Q15" s="3" t="n">
        <f aca="false">P15*100</f>
        <v>0</v>
      </c>
      <c r="R15" s="3" t="n">
        <f aca="false">D15*F15</f>
        <v>0</v>
      </c>
    </row>
    <row r="16" customFormat="false" ht="15" hidden="false" customHeight="true" outlineLevel="0" collapsed="false">
      <c r="G16" s="1" t="e">
        <f aca="false">Q16/R16</f>
        <v>#DIV/0!</v>
      </c>
      <c r="H16" s="1" t="e">
        <f aca="false">L16/M16</f>
        <v>#DIV/0!</v>
      </c>
      <c r="I16" s="3" t="n">
        <f aca="false">E16/1.055</f>
        <v>0</v>
      </c>
      <c r="J16" s="3" t="n">
        <f aca="false">I16-C16</f>
        <v>0</v>
      </c>
      <c r="K16" s="3" t="n">
        <f aca="false">J16*F16</f>
        <v>0</v>
      </c>
      <c r="L16" s="3" t="n">
        <f aca="false">K16*100</f>
        <v>0</v>
      </c>
      <c r="M16" s="3" t="n">
        <f aca="false">E16*F16</f>
        <v>0</v>
      </c>
      <c r="N16" s="3" t="n">
        <f aca="false">D16/1.055</f>
        <v>0</v>
      </c>
      <c r="O16" s="3" t="n">
        <f aca="false">N16-B16</f>
        <v>0</v>
      </c>
      <c r="P16" s="3" t="n">
        <f aca="false">O16*F16</f>
        <v>0</v>
      </c>
      <c r="Q16" s="3" t="n">
        <f aca="false">P16*100</f>
        <v>0</v>
      </c>
      <c r="R16" s="3" t="n">
        <f aca="false">D16*F16</f>
        <v>0</v>
      </c>
    </row>
    <row r="17" customFormat="false" ht="15" hidden="false" customHeight="true" outlineLevel="0" collapsed="false">
      <c r="G17" s="1" t="e">
        <f aca="false">Q17/R17</f>
        <v>#DIV/0!</v>
      </c>
      <c r="H17" s="1" t="e">
        <f aca="false">L17/M17</f>
        <v>#DIV/0!</v>
      </c>
      <c r="I17" s="3" t="n">
        <f aca="false">E17/1.055</f>
        <v>0</v>
      </c>
      <c r="J17" s="3" t="n">
        <f aca="false">I17-C17</f>
        <v>0</v>
      </c>
      <c r="K17" s="3" t="n">
        <f aca="false">J17*F17</f>
        <v>0</v>
      </c>
      <c r="L17" s="3" t="n">
        <f aca="false">K17*100</f>
        <v>0</v>
      </c>
      <c r="M17" s="3" t="n">
        <f aca="false">E17*F17</f>
        <v>0</v>
      </c>
      <c r="N17" s="3" t="n">
        <f aca="false">D17/1.055</f>
        <v>0</v>
      </c>
      <c r="O17" s="3" t="n">
        <f aca="false">N17-B17</f>
        <v>0</v>
      </c>
      <c r="P17" s="3" t="n">
        <f aca="false">O17*F17</f>
        <v>0</v>
      </c>
      <c r="Q17" s="3" t="n">
        <f aca="false">P17*100</f>
        <v>0</v>
      </c>
      <c r="R17" s="3" t="n">
        <f aca="false">D17*F17</f>
        <v>0</v>
      </c>
    </row>
    <row r="18" customFormat="false" ht="15" hidden="false" customHeight="true" outlineLevel="0" collapsed="false">
      <c r="G18" s="1" t="e">
        <f aca="false">Q18/R18</f>
        <v>#DIV/0!</v>
      </c>
      <c r="H18" s="1" t="e">
        <f aca="false">L18/M18</f>
        <v>#DIV/0!</v>
      </c>
      <c r="I18" s="3" t="n">
        <f aca="false">E18/1.055</f>
        <v>0</v>
      </c>
      <c r="J18" s="3" t="n">
        <f aca="false">I18-C18</f>
        <v>0</v>
      </c>
      <c r="K18" s="3" t="n">
        <f aca="false">J18*F18</f>
        <v>0</v>
      </c>
      <c r="L18" s="3" t="n">
        <f aca="false">K18*100</f>
        <v>0</v>
      </c>
      <c r="M18" s="3" t="n">
        <f aca="false">E18*F18</f>
        <v>0</v>
      </c>
      <c r="N18" s="3" t="n">
        <f aca="false">D18/1.055</f>
        <v>0</v>
      </c>
      <c r="O18" s="3" t="n">
        <f aca="false">N18-B18</f>
        <v>0</v>
      </c>
      <c r="P18" s="3" t="n">
        <f aca="false">O18*F18</f>
        <v>0</v>
      </c>
      <c r="Q18" s="3" t="n">
        <f aca="false">P18*100</f>
        <v>0</v>
      </c>
      <c r="R18" s="3" t="n">
        <f aca="false">D18*F18</f>
        <v>0</v>
      </c>
    </row>
    <row r="19" customFormat="false" ht="15" hidden="false" customHeight="true" outlineLevel="0" collapsed="false">
      <c r="G19" s="1" t="e">
        <f aca="false">Q19/R19</f>
        <v>#DIV/0!</v>
      </c>
      <c r="H19" s="1" t="e">
        <f aca="false">L19/M19</f>
        <v>#DIV/0!</v>
      </c>
      <c r="I19" s="3" t="n">
        <f aca="false">E19/1.055</f>
        <v>0</v>
      </c>
      <c r="J19" s="3" t="n">
        <f aca="false">I19-C19</f>
        <v>0</v>
      </c>
      <c r="K19" s="3" t="n">
        <f aca="false">J19*F19</f>
        <v>0</v>
      </c>
      <c r="L19" s="3" t="n">
        <f aca="false">K19*100</f>
        <v>0</v>
      </c>
      <c r="M19" s="3" t="n">
        <f aca="false">E19*F19</f>
        <v>0</v>
      </c>
      <c r="N19" s="3" t="n">
        <f aca="false">D19/1.055</f>
        <v>0</v>
      </c>
      <c r="O19" s="3" t="n">
        <f aca="false">N19-B19</f>
        <v>0</v>
      </c>
      <c r="P19" s="3" t="n">
        <f aca="false">O19*F19</f>
        <v>0</v>
      </c>
      <c r="Q19" s="3" t="n">
        <f aca="false">P19*100</f>
        <v>0</v>
      </c>
      <c r="R19" s="3" t="n">
        <f aca="false">D19*F19</f>
        <v>0</v>
      </c>
    </row>
    <row r="20" customFormat="false" ht="15" hidden="false" customHeight="true" outlineLevel="0" collapsed="false">
      <c r="G20" s="1" t="e">
        <f aca="false">Q20/R20</f>
        <v>#DIV/0!</v>
      </c>
      <c r="H20" s="1" t="e">
        <f aca="false">L20/M20</f>
        <v>#DIV/0!</v>
      </c>
      <c r="I20" s="3" t="n">
        <f aca="false">E20/1.055</f>
        <v>0</v>
      </c>
      <c r="J20" s="3" t="n">
        <f aca="false">I20-C20</f>
        <v>0</v>
      </c>
      <c r="K20" s="3" t="n">
        <f aca="false">J20*F20</f>
        <v>0</v>
      </c>
      <c r="L20" s="3" t="n">
        <f aca="false">K20*100</f>
        <v>0</v>
      </c>
      <c r="M20" s="3" t="n">
        <f aca="false">E20*F20</f>
        <v>0</v>
      </c>
      <c r="N20" s="3" t="n">
        <f aca="false">D20/1.055</f>
        <v>0</v>
      </c>
      <c r="O20" s="3" t="n">
        <f aca="false">N20-B20</f>
        <v>0</v>
      </c>
      <c r="P20" s="3" t="n">
        <f aca="false">O20*F20</f>
        <v>0</v>
      </c>
      <c r="Q20" s="3" t="n">
        <f aca="false">P20*100</f>
        <v>0</v>
      </c>
      <c r="R20" s="3" t="n">
        <f aca="false">D20*F20</f>
        <v>0</v>
      </c>
    </row>
    <row r="21" customFormat="false" ht="15" hidden="false" customHeight="true" outlineLevel="0" collapsed="false">
      <c r="G21" s="1" t="e">
        <f aca="false">Q21/R21</f>
        <v>#DIV/0!</v>
      </c>
      <c r="H21" s="1" t="e">
        <f aca="false">L21/M21</f>
        <v>#DIV/0!</v>
      </c>
      <c r="I21" s="3" t="n">
        <f aca="false">E21/1.055</f>
        <v>0</v>
      </c>
      <c r="J21" s="3" t="n">
        <f aca="false">I21-C21</f>
        <v>0</v>
      </c>
      <c r="K21" s="3" t="n">
        <f aca="false">J21*F21</f>
        <v>0</v>
      </c>
      <c r="L21" s="3" t="n">
        <f aca="false">K21*100</f>
        <v>0</v>
      </c>
      <c r="M21" s="3" t="n">
        <f aca="false">E21*F21</f>
        <v>0</v>
      </c>
      <c r="N21" s="3" t="n">
        <f aca="false">D21/1.055</f>
        <v>0</v>
      </c>
      <c r="O21" s="3" t="n">
        <f aca="false">N21-B21</f>
        <v>0</v>
      </c>
      <c r="P21" s="3" t="n">
        <f aca="false">O21*F21</f>
        <v>0</v>
      </c>
      <c r="Q21" s="3" t="n">
        <f aca="false">P21*100</f>
        <v>0</v>
      </c>
      <c r="R21" s="3" t="n">
        <f aca="false">D21*F21</f>
        <v>0</v>
      </c>
    </row>
    <row r="22" customFormat="false" ht="15" hidden="false" customHeight="true" outlineLevel="0" collapsed="false">
      <c r="G22" s="1" t="e">
        <f aca="false">Q22/R22</f>
        <v>#DIV/0!</v>
      </c>
      <c r="H22" s="1" t="e">
        <f aca="false">L22/M22</f>
        <v>#DIV/0!</v>
      </c>
      <c r="I22" s="3" t="n">
        <f aca="false">E22/1.055</f>
        <v>0</v>
      </c>
      <c r="J22" s="3" t="n">
        <f aca="false">I22-C22</f>
        <v>0</v>
      </c>
      <c r="K22" s="3" t="n">
        <f aca="false">J22*F22</f>
        <v>0</v>
      </c>
      <c r="L22" s="3" t="n">
        <f aca="false">K22*100</f>
        <v>0</v>
      </c>
      <c r="M22" s="3" t="n">
        <f aca="false">E22*F22</f>
        <v>0</v>
      </c>
      <c r="N22" s="3" t="n">
        <f aca="false">D22/1.055</f>
        <v>0</v>
      </c>
      <c r="O22" s="3" t="n">
        <f aca="false">N22-B22</f>
        <v>0</v>
      </c>
      <c r="P22" s="3" t="n">
        <f aca="false">O22*F22</f>
        <v>0</v>
      </c>
      <c r="Q22" s="3" t="n">
        <f aca="false">P22*100</f>
        <v>0</v>
      </c>
      <c r="R22" s="3" t="n">
        <f aca="false">D22*F22</f>
        <v>0</v>
      </c>
    </row>
    <row r="23" customFormat="false" ht="15" hidden="false" customHeight="true" outlineLevel="0" collapsed="false">
      <c r="G23" s="1" t="e">
        <f aca="false">Q23/R23</f>
        <v>#DIV/0!</v>
      </c>
      <c r="H23" s="1" t="e">
        <f aca="false">L23/M23</f>
        <v>#DIV/0!</v>
      </c>
      <c r="I23" s="3" t="n">
        <f aca="false">E23/1.055</f>
        <v>0</v>
      </c>
      <c r="J23" s="3" t="n">
        <f aca="false">I23-C23</f>
        <v>0</v>
      </c>
      <c r="K23" s="3" t="n">
        <f aca="false">J23*F23</f>
        <v>0</v>
      </c>
      <c r="L23" s="3" t="n">
        <f aca="false">K23*100</f>
        <v>0</v>
      </c>
      <c r="M23" s="3" t="n">
        <f aca="false">E23*F23</f>
        <v>0</v>
      </c>
      <c r="N23" s="3" t="n">
        <f aca="false">D23/1.055</f>
        <v>0</v>
      </c>
      <c r="O23" s="3" t="n">
        <f aca="false">N23-B23</f>
        <v>0</v>
      </c>
      <c r="P23" s="3" t="n">
        <f aca="false">O23*F23</f>
        <v>0</v>
      </c>
      <c r="Q23" s="3" t="n">
        <f aca="false">P23*100</f>
        <v>0</v>
      </c>
      <c r="R23" s="3" t="n">
        <f aca="false">D23*F23</f>
        <v>0</v>
      </c>
    </row>
    <row r="24" customFormat="false" ht="15" hidden="false" customHeight="true" outlineLevel="0" collapsed="false">
      <c r="G24" s="1" t="e">
        <f aca="false">Q24/R24</f>
        <v>#DIV/0!</v>
      </c>
      <c r="H24" s="1" t="e">
        <f aca="false">L24/M24</f>
        <v>#DIV/0!</v>
      </c>
      <c r="I24" s="3" t="n">
        <f aca="false">E24/1.055</f>
        <v>0</v>
      </c>
      <c r="J24" s="3" t="n">
        <f aca="false">I24-C24</f>
        <v>0</v>
      </c>
      <c r="K24" s="3" t="n">
        <f aca="false">J24*F24</f>
        <v>0</v>
      </c>
      <c r="L24" s="3" t="n">
        <f aca="false">K24*100</f>
        <v>0</v>
      </c>
      <c r="M24" s="3" t="n">
        <f aca="false">E24*F24</f>
        <v>0</v>
      </c>
      <c r="N24" s="3" t="n">
        <f aca="false">D24/1.055</f>
        <v>0</v>
      </c>
      <c r="O24" s="3" t="n">
        <f aca="false">N24-B24</f>
        <v>0</v>
      </c>
      <c r="P24" s="3" t="n">
        <f aca="false">O24*F24</f>
        <v>0</v>
      </c>
      <c r="Q24" s="3" t="n">
        <f aca="false">P24*100</f>
        <v>0</v>
      </c>
      <c r="R24" s="3" t="n">
        <f aca="false">D24*F24</f>
        <v>0</v>
      </c>
    </row>
    <row r="25" customFormat="false" ht="15" hidden="false" customHeight="true" outlineLevel="0" collapsed="false">
      <c r="G25" s="1" t="e">
        <f aca="false">Q25/R25</f>
        <v>#DIV/0!</v>
      </c>
      <c r="H25" s="1" t="e">
        <f aca="false">L25/M25</f>
        <v>#DIV/0!</v>
      </c>
      <c r="I25" s="3" t="n">
        <f aca="false">E25/1.055</f>
        <v>0</v>
      </c>
      <c r="J25" s="3" t="n">
        <f aca="false">I25-C25</f>
        <v>0</v>
      </c>
      <c r="K25" s="3" t="n">
        <f aca="false">J25*F25</f>
        <v>0</v>
      </c>
      <c r="L25" s="3" t="n">
        <f aca="false">K25*100</f>
        <v>0</v>
      </c>
      <c r="M25" s="3" t="n">
        <f aca="false">E25*F25</f>
        <v>0</v>
      </c>
      <c r="N25" s="3" t="n">
        <f aca="false">D25/1.055</f>
        <v>0</v>
      </c>
      <c r="O25" s="3" t="n">
        <f aca="false">N25-B25</f>
        <v>0</v>
      </c>
      <c r="P25" s="3" t="n">
        <f aca="false">O25*F25</f>
        <v>0</v>
      </c>
      <c r="Q25" s="3" t="n">
        <f aca="false">P25*100</f>
        <v>0</v>
      </c>
      <c r="R25" s="3" t="n">
        <f aca="false">D25*F25</f>
        <v>0</v>
      </c>
    </row>
    <row r="26" customFormat="false" ht="15" hidden="false" customHeight="true" outlineLevel="0" collapsed="false">
      <c r="G26" s="1" t="e">
        <f aca="false">Q26/R26</f>
        <v>#DIV/0!</v>
      </c>
      <c r="H26" s="1" t="e">
        <f aca="false">L26/M26</f>
        <v>#DIV/0!</v>
      </c>
      <c r="I26" s="3" t="n">
        <f aca="false">E26/1.055</f>
        <v>0</v>
      </c>
      <c r="J26" s="3" t="n">
        <f aca="false">I26-C26</f>
        <v>0</v>
      </c>
      <c r="K26" s="3" t="n">
        <f aca="false">J26*F26</f>
        <v>0</v>
      </c>
      <c r="L26" s="3" t="n">
        <f aca="false">K26*100</f>
        <v>0</v>
      </c>
      <c r="M26" s="3" t="n">
        <f aca="false">E26*F26</f>
        <v>0</v>
      </c>
      <c r="N26" s="3" t="n">
        <f aca="false">D26/1.055</f>
        <v>0</v>
      </c>
      <c r="O26" s="3" t="n">
        <f aca="false">N26-B26</f>
        <v>0</v>
      </c>
      <c r="P26" s="3" t="n">
        <f aca="false">O26*F26</f>
        <v>0</v>
      </c>
      <c r="Q26" s="3" t="n">
        <f aca="false">P26*100</f>
        <v>0</v>
      </c>
      <c r="R26" s="3" t="n">
        <f aca="false">D26*F26</f>
        <v>0</v>
      </c>
    </row>
    <row r="27" customFormat="false" ht="15" hidden="false" customHeight="true" outlineLevel="0" collapsed="false">
      <c r="G27" s="1" t="e">
        <f aca="false">Q27/R27</f>
        <v>#DIV/0!</v>
      </c>
      <c r="H27" s="1" t="e">
        <f aca="false">L27/M27</f>
        <v>#DIV/0!</v>
      </c>
      <c r="I27" s="3" t="n">
        <f aca="false">E27/1.055</f>
        <v>0</v>
      </c>
      <c r="J27" s="3" t="n">
        <f aca="false">I27-C27</f>
        <v>0</v>
      </c>
      <c r="K27" s="3" t="n">
        <f aca="false">J27*F27</f>
        <v>0</v>
      </c>
      <c r="L27" s="3" t="n">
        <f aca="false">K27*100</f>
        <v>0</v>
      </c>
      <c r="M27" s="3" t="n">
        <f aca="false">E27*F27</f>
        <v>0</v>
      </c>
      <c r="N27" s="3" t="n">
        <f aca="false">D27/1.055</f>
        <v>0</v>
      </c>
      <c r="O27" s="3" t="n">
        <f aca="false">N27-B27</f>
        <v>0</v>
      </c>
      <c r="P27" s="3" t="n">
        <f aca="false">O27*F27</f>
        <v>0</v>
      </c>
      <c r="Q27" s="3" t="n">
        <f aca="false">P27*100</f>
        <v>0</v>
      </c>
      <c r="R27" s="3" t="n">
        <f aca="false">D27*F27</f>
        <v>0</v>
      </c>
    </row>
    <row r="28" customFormat="false" ht="15" hidden="false" customHeight="true" outlineLevel="0" collapsed="false">
      <c r="G28" s="1" t="e">
        <f aca="false">Q28/R28</f>
        <v>#DIV/0!</v>
      </c>
      <c r="H28" s="1" t="e">
        <f aca="false">L28/M28</f>
        <v>#DIV/0!</v>
      </c>
      <c r="I28" s="3" t="n">
        <f aca="false">E28/1.055</f>
        <v>0</v>
      </c>
      <c r="J28" s="3" t="n">
        <f aca="false">I28-C28</f>
        <v>0</v>
      </c>
      <c r="K28" s="3" t="n">
        <f aca="false">J28*F28</f>
        <v>0</v>
      </c>
      <c r="L28" s="3" t="n">
        <f aca="false">K28*100</f>
        <v>0</v>
      </c>
      <c r="M28" s="3" t="n">
        <f aca="false">E28*F28</f>
        <v>0</v>
      </c>
      <c r="N28" s="3" t="n">
        <f aca="false">D28/1.055</f>
        <v>0</v>
      </c>
      <c r="O28" s="3" t="n">
        <f aca="false">N28-B28</f>
        <v>0</v>
      </c>
      <c r="P28" s="3" t="n">
        <f aca="false">O28*F28</f>
        <v>0</v>
      </c>
      <c r="Q28" s="3" t="n">
        <f aca="false">P28*100</f>
        <v>0</v>
      </c>
      <c r="R28" s="3" t="n">
        <f aca="false">D28*F28</f>
        <v>0</v>
      </c>
    </row>
    <row r="29" customFormat="false" ht="15" hidden="false" customHeight="true" outlineLevel="0" collapsed="false">
      <c r="G29" s="1" t="e">
        <f aca="false">Q29/R29</f>
        <v>#DIV/0!</v>
      </c>
      <c r="H29" s="1" t="e">
        <f aca="false">L29/M29</f>
        <v>#DIV/0!</v>
      </c>
      <c r="I29" s="3" t="n">
        <f aca="false">E29/1.055</f>
        <v>0</v>
      </c>
      <c r="J29" s="3" t="n">
        <f aca="false">I29-C29</f>
        <v>0</v>
      </c>
      <c r="K29" s="3" t="n">
        <f aca="false">J29*F29</f>
        <v>0</v>
      </c>
      <c r="L29" s="3" t="n">
        <f aca="false">K29*100</f>
        <v>0</v>
      </c>
      <c r="M29" s="3" t="n">
        <f aca="false">E29*F29</f>
        <v>0</v>
      </c>
      <c r="N29" s="3" t="n">
        <f aca="false">D29/1.055</f>
        <v>0</v>
      </c>
      <c r="O29" s="3" t="n">
        <f aca="false">N29-B29</f>
        <v>0</v>
      </c>
      <c r="P29" s="3" t="n">
        <f aca="false">O29*F29</f>
        <v>0</v>
      </c>
      <c r="Q29" s="3" t="n">
        <f aca="false">P29*100</f>
        <v>0</v>
      </c>
      <c r="R29" s="3" t="n">
        <f aca="false">D29*F29</f>
        <v>0</v>
      </c>
    </row>
    <row r="30" customFormat="false" ht="15" hidden="false" customHeight="true" outlineLevel="0" collapsed="false">
      <c r="G30" s="1" t="e">
        <f aca="false">Q30/R30</f>
        <v>#DIV/0!</v>
      </c>
      <c r="H30" s="1" t="e">
        <f aca="false">L30/M30</f>
        <v>#DIV/0!</v>
      </c>
      <c r="I30" s="3" t="n">
        <f aca="false">E30/1.055</f>
        <v>0</v>
      </c>
      <c r="J30" s="3" t="n">
        <f aca="false">I30-C30</f>
        <v>0</v>
      </c>
      <c r="K30" s="3" t="n">
        <f aca="false">J30*F30</f>
        <v>0</v>
      </c>
      <c r="L30" s="3" t="n">
        <f aca="false">K30*100</f>
        <v>0</v>
      </c>
      <c r="M30" s="3" t="n">
        <f aca="false">E30*F30</f>
        <v>0</v>
      </c>
      <c r="N30" s="3" t="n">
        <f aca="false">D30/1.055</f>
        <v>0</v>
      </c>
      <c r="O30" s="3" t="n">
        <f aca="false">N30-B30</f>
        <v>0</v>
      </c>
      <c r="P30" s="3" t="n">
        <f aca="false">O30*F30</f>
        <v>0</v>
      </c>
      <c r="Q30" s="3" t="n">
        <f aca="false">P30*100</f>
        <v>0</v>
      </c>
      <c r="R30" s="3" t="n">
        <f aca="false">D30*F30</f>
        <v>0</v>
      </c>
    </row>
    <row r="31" customFormat="false" ht="15" hidden="false" customHeight="true" outlineLevel="0" collapsed="false">
      <c r="G31" s="1" t="e">
        <f aca="false">Q31/R31</f>
        <v>#DIV/0!</v>
      </c>
      <c r="H31" s="1" t="e">
        <f aca="false">L31/M31</f>
        <v>#DIV/0!</v>
      </c>
      <c r="I31" s="3" t="n">
        <f aca="false">E31/1.055</f>
        <v>0</v>
      </c>
      <c r="J31" s="3" t="n">
        <f aca="false">I31-C31</f>
        <v>0</v>
      </c>
      <c r="K31" s="3" t="n">
        <f aca="false">J31*F31</f>
        <v>0</v>
      </c>
      <c r="L31" s="3" t="n">
        <f aca="false">K31*100</f>
        <v>0</v>
      </c>
      <c r="M31" s="3" t="n">
        <f aca="false">E31*F31</f>
        <v>0</v>
      </c>
      <c r="N31" s="3" t="n">
        <f aca="false">D31/1.055</f>
        <v>0</v>
      </c>
      <c r="O31" s="3" t="n">
        <f aca="false">N31-B31</f>
        <v>0</v>
      </c>
      <c r="P31" s="3" t="n">
        <f aca="false">O31*F31</f>
        <v>0</v>
      </c>
      <c r="Q31" s="3" t="n">
        <f aca="false">P31*100</f>
        <v>0</v>
      </c>
      <c r="R31" s="3" t="n">
        <f aca="false">D31*F31</f>
        <v>0</v>
      </c>
    </row>
    <row r="32" customFormat="false" ht="15" hidden="false" customHeight="true" outlineLevel="0" collapsed="false">
      <c r="G32" s="1" t="e">
        <f aca="false">Q32/R32</f>
        <v>#DIV/0!</v>
      </c>
      <c r="H32" s="1" t="e">
        <f aca="false">L32/M32</f>
        <v>#DIV/0!</v>
      </c>
      <c r="I32" s="3" t="n">
        <f aca="false">E32/1.055</f>
        <v>0</v>
      </c>
      <c r="J32" s="3" t="n">
        <f aca="false">I32-C32</f>
        <v>0</v>
      </c>
      <c r="K32" s="3" t="n">
        <f aca="false">J32*F32</f>
        <v>0</v>
      </c>
      <c r="L32" s="3" t="n">
        <f aca="false">K32*100</f>
        <v>0</v>
      </c>
      <c r="M32" s="3" t="n">
        <f aca="false">E32*F32</f>
        <v>0</v>
      </c>
      <c r="N32" s="3" t="n">
        <f aca="false">D32/1.055</f>
        <v>0</v>
      </c>
      <c r="O32" s="3" t="n">
        <f aca="false">N32-B32</f>
        <v>0</v>
      </c>
      <c r="P32" s="3" t="n">
        <f aca="false">O32*F32</f>
        <v>0</v>
      </c>
      <c r="Q32" s="3" t="n">
        <f aca="false">P32*100</f>
        <v>0</v>
      </c>
      <c r="R32" s="3" t="n">
        <f aca="false">D32*F32</f>
        <v>0</v>
      </c>
    </row>
    <row r="33" customFormat="false" ht="15" hidden="false" customHeight="true" outlineLevel="0" collapsed="false">
      <c r="G33" s="1" t="e">
        <f aca="false">Q33/R33</f>
        <v>#DIV/0!</v>
      </c>
      <c r="H33" s="1" t="e">
        <f aca="false">L33/M33</f>
        <v>#DIV/0!</v>
      </c>
      <c r="I33" s="3" t="n">
        <f aca="false">E33/1.055</f>
        <v>0</v>
      </c>
      <c r="J33" s="3" t="n">
        <f aca="false">I33-C33</f>
        <v>0</v>
      </c>
      <c r="K33" s="3" t="n">
        <f aca="false">J33*F33</f>
        <v>0</v>
      </c>
      <c r="L33" s="3" t="n">
        <f aca="false">K33*100</f>
        <v>0</v>
      </c>
      <c r="M33" s="3" t="n">
        <f aca="false">E33*F33</f>
        <v>0</v>
      </c>
      <c r="N33" s="3" t="n">
        <f aca="false">D33/1.055</f>
        <v>0</v>
      </c>
      <c r="O33" s="3" t="n">
        <f aca="false">N33-B33</f>
        <v>0</v>
      </c>
      <c r="P33" s="3" t="n">
        <f aca="false">O33*F33</f>
        <v>0</v>
      </c>
      <c r="Q33" s="3" t="n">
        <f aca="false">P33*100</f>
        <v>0</v>
      </c>
      <c r="R33" s="3" t="n">
        <f aca="false">D33*F33</f>
        <v>0</v>
      </c>
    </row>
    <row r="34" customFormat="false" ht="15" hidden="false" customHeight="true" outlineLevel="0" collapsed="false">
      <c r="G34" s="1" t="e">
        <f aca="false">Q34/R34</f>
        <v>#DIV/0!</v>
      </c>
      <c r="H34" s="1" t="e">
        <f aca="false">L34/M34</f>
        <v>#DIV/0!</v>
      </c>
      <c r="I34" s="3" t="n">
        <f aca="false">E34/1.055</f>
        <v>0</v>
      </c>
      <c r="J34" s="3" t="n">
        <f aca="false">I34-C34</f>
        <v>0</v>
      </c>
      <c r="K34" s="3" t="n">
        <f aca="false">J34*F34</f>
        <v>0</v>
      </c>
      <c r="L34" s="3" t="n">
        <f aca="false">K34*100</f>
        <v>0</v>
      </c>
      <c r="M34" s="3" t="n">
        <f aca="false">E34*F34</f>
        <v>0</v>
      </c>
      <c r="N34" s="3" t="n">
        <f aca="false">D34/1.055</f>
        <v>0</v>
      </c>
      <c r="O34" s="3" t="n">
        <f aca="false">N34-B34</f>
        <v>0</v>
      </c>
      <c r="P34" s="3" t="n">
        <f aca="false">O34*F34</f>
        <v>0</v>
      </c>
      <c r="Q34" s="3" t="n">
        <f aca="false">P34*100</f>
        <v>0</v>
      </c>
      <c r="R34" s="3" t="n">
        <f aca="false">D34*F34</f>
        <v>0</v>
      </c>
    </row>
    <row r="35" customFormat="false" ht="15" hidden="false" customHeight="true" outlineLevel="0" collapsed="false">
      <c r="G35" s="1" t="e">
        <f aca="false">Q35/R35</f>
        <v>#DIV/0!</v>
      </c>
      <c r="H35" s="1" t="e">
        <f aca="false">L35/M35</f>
        <v>#DIV/0!</v>
      </c>
      <c r="I35" s="3" t="n">
        <f aca="false">E35/1.055</f>
        <v>0</v>
      </c>
      <c r="J35" s="3" t="n">
        <f aca="false">I35-C35</f>
        <v>0</v>
      </c>
      <c r="K35" s="3" t="n">
        <f aca="false">J35*F35</f>
        <v>0</v>
      </c>
      <c r="L35" s="3" t="n">
        <f aca="false">K35*100</f>
        <v>0</v>
      </c>
      <c r="M35" s="3" t="n">
        <f aca="false">E35*F35</f>
        <v>0</v>
      </c>
      <c r="N35" s="3" t="n">
        <f aca="false">D35/1.055</f>
        <v>0</v>
      </c>
      <c r="O35" s="3" t="n">
        <f aca="false">N35-B35</f>
        <v>0</v>
      </c>
      <c r="P35" s="3" t="n">
        <f aca="false">O35*F35</f>
        <v>0</v>
      </c>
      <c r="Q35" s="3" t="n">
        <f aca="false">P35*100</f>
        <v>0</v>
      </c>
      <c r="R35" s="3" t="n">
        <f aca="false">D35*F35</f>
        <v>0</v>
      </c>
    </row>
    <row r="36" customFormat="false" ht="15" hidden="false" customHeight="true" outlineLevel="0" collapsed="false">
      <c r="G36" s="1" t="e">
        <f aca="false">Q36/R36</f>
        <v>#DIV/0!</v>
      </c>
      <c r="H36" s="1" t="e">
        <f aca="false">L36/M36</f>
        <v>#DIV/0!</v>
      </c>
      <c r="I36" s="3" t="n">
        <f aca="false">E36/1.055</f>
        <v>0</v>
      </c>
      <c r="J36" s="3" t="n">
        <f aca="false">I36-C36</f>
        <v>0</v>
      </c>
      <c r="K36" s="3" t="n">
        <f aca="false">J36*F36</f>
        <v>0</v>
      </c>
      <c r="L36" s="3" t="n">
        <f aca="false">K36*100</f>
        <v>0</v>
      </c>
      <c r="M36" s="3" t="n">
        <f aca="false">E36*F36</f>
        <v>0</v>
      </c>
      <c r="N36" s="3" t="n">
        <f aca="false">D36/1.055</f>
        <v>0</v>
      </c>
      <c r="O36" s="3" t="n">
        <f aca="false">N36-B36</f>
        <v>0</v>
      </c>
      <c r="P36" s="3" t="n">
        <f aca="false">O36*F36</f>
        <v>0</v>
      </c>
      <c r="Q36" s="3" t="n">
        <f aca="false">P36*100</f>
        <v>0</v>
      </c>
      <c r="R36" s="3" t="n">
        <f aca="false">D36*F36</f>
        <v>0</v>
      </c>
    </row>
    <row r="37" customFormat="false" ht="15" hidden="false" customHeight="true" outlineLevel="0" collapsed="false">
      <c r="G37" s="1" t="e">
        <f aca="false">Q37/R37</f>
        <v>#DIV/0!</v>
      </c>
      <c r="H37" s="1" t="e">
        <f aca="false">L37/M37</f>
        <v>#DIV/0!</v>
      </c>
      <c r="I37" s="3" t="n">
        <f aca="false">E37/1.055</f>
        <v>0</v>
      </c>
      <c r="J37" s="3" t="n">
        <f aca="false">I37-C37</f>
        <v>0</v>
      </c>
      <c r="K37" s="3" t="n">
        <f aca="false">J37*F37</f>
        <v>0</v>
      </c>
      <c r="L37" s="3" t="n">
        <f aca="false">K37*100</f>
        <v>0</v>
      </c>
      <c r="M37" s="3" t="n">
        <f aca="false">E37*F37</f>
        <v>0</v>
      </c>
      <c r="N37" s="3" t="n">
        <f aca="false">D37/1.055</f>
        <v>0</v>
      </c>
      <c r="O37" s="3" t="n">
        <f aca="false">N37-B37</f>
        <v>0</v>
      </c>
      <c r="P37" s="3" t="n">
        <f aca="false">O37*F37</f>
        <v>0</v>
      </c>
      <c r="Q37" s="3" t="n">
        <f aca="false">P37*100</f>
        <v>0</v>
      </c>
      <c r="R37" s="3" t="n">
        <f aca="false">D37*F37</f>
        <v>0</v>
      </c>
    </row>
    <row r="38" customFormat="false" ht="15" hidden="false" customHeight="true" outlineLevel="0" collapsed="false">
      <c r="G38" s="1" t="e">
        <f aca="false">Q38/R38</f>
        <v>#DIV/0!</v>
      </c>
      <c r="H38" s="1" t="e">
        <f aca="false">L38/M38</f>
        <v>#DIV/0!</v>
      </c>
      <c r="I38" s="3" t="n">
        <f aca="false">E38/1.055</f>
        <v>0</v>
      </c>
      <c r="J38" s="3" t="n">
        <f aca="false">I38-C38</f>
        <v>0</v>
      </c>
      <c r="K38" s="3" t="n">
        <f aca="false">J38*F38</f>
        <v>0</v>
      </c>
      <c r="L38" s="3" t="n">
        <f aca="false">K38*100</f>
        <v>0</v>
      </c>
      <c r="M38" s="3" t="n">
        <f aca="false">E38*F38</f>
        <v>0</v>
      </c>
      <c r="N38" s="3" t="n">
        <f aca="false">D38/1.055</f>
        <v>0</v>
      </c>
      <c r="O38" s="3" t="n">
        <f aca="false">N38-B38</f>
        <v>0</v>
      </c>
      <c r="P38" s="3" t="n">
        <f aca="false">O38*F38</f>
        <v>0</v>
      </c>
      <c r="Q38" s="3" t="n">
        <f aca="false">P38*100</f>
        <v>0</v>
      </c>
      <c r="R38" s="3" t="n">
        <f aca="false">D38*F38</f>
        <v>0</v>
      </c>
    </row>
    <row r="39" customFormat="false" ht="15" hidden="false" customHeight="true" outlineLevel="0" collapsed="false">
      <c r="G39" s="1" t="e">
        <f aca="false">Q39/R39</f>
        <v>#DIV/0!</v>
      </c>
      <c r="H39" s="1" t="e">
        <f aca="false">L39/M39</f>
        <v>#DIV/0!</v>
      </c>
      <c r="I39" s="3" t="n">
        <f aca="false">E39/1.055</f>
        <v>0</v>
      </c>
      <c r="J39" s="3" t="n">
        <f aca="false">I39-C39</f>
        <v>0</v>
      </c>
      <c r="K39" s="3" t="n">
        <f aca="false">J39*F39</f>
        <v>0</v>
      </c>
      <c r="L39" s="3" t="n">
        <f aca="false">K39*100</f>
        <v>0</v>
      </c>
      <c r="M39" s="3" t="n">
        <f aca="false">E39*F39</f>
        <v>0</v>
      </c>
      <c r="N39" s="3" t="n">
        <f aca="false">D39/1.055</f>
        <v>0</v>
      </c>
      <c r="O39" s="3" t="n">
        <f aca="false">N39-B39</f>
        <v>0</v>
      </c>
      <c r="P39" s="3" t="n">
        <f aca="false">O39*F39</f>
        <v>0</v>
      </c>
      <c r="Q39" s="3" t="n">
        <f aca="false">P39*100</f>
        <v>0</v>
      </c>
      <c r="R39" s="3" t="n">
        <f aca="false">D39*F39</f>
        <v>0</v>
      </c>
    </row>
    <row r="40" customFormat="false" ht="15" hidden="false" customHeight="true" outlineLevel="0" collapsed="false">
      <c r="G40" s="1" t="e">
        <f aca="false">Q40/R40</f>
        <v>#DIV/0!</v>
      </c>
      <c r="H40" s="1" t="e">
        <f aca="false">L40/M40</f>
        <v>#DIV/0!</v>
      </c>
      <c r="I40" s="3" t="n">
        <f aca="false">E40/1.055</f>
        <v>0</v>
      </c>
      <c r="J40" s="3" t="n">
        <f aca="false">I40-C40</f>
        <v>0</v>
      </c>
      <c r="K40" s="3" t="n">
        <f aca="false">J40*F40</f>
        <v>0</v>
      </c>
      <c r="L40" s="3" t="n">
        <f aca="false">K40*100</f>
        <v>0</v>
      </c>
      <c r="M40" s="3" t="n">
        <f aca="false">E40*F40</f>
        <v>0</v>
      </c>
      <c r="N40" s="3" t="n">
        <f aca="false">D40/1.055</f>
        <v>0</v>
      </c>
      <c r="O40" s="3" t="n">
        <f aca="false">N40-B40</f>
        <v>0</v>
      </c>
      <c r="P40" s="3" t="n">
        <f aca="false">O40*F40</f>
        <v>0</v>
      </c>
      <c r="Q40" s="3" t="n">
        <f aca="false">P40*100</f>
        <v>0</v>
      </c>
      <c r="R40" s="3" t="n">
        <f aca="false">D40*F40</f>
        <v>0</v>
      </c>
    </row>
    <row r="41" customFormat="false" ht="15" hidden="false" customHeight="true" outlineLevel="0" collapsed="false">
      <c r="G41" s="1" t="e">
        <f aca="false">Q41/R41</f>
        <v>#DIV/0!</v>
      </c>
      <c r="H41" s="1" t="e">
        <f aca="false">L41/M41</f>
        <v>#DIV/0!</v>
      </c>
      <c r="I41" s="3" t="n">
        <f aca="false">E41/1.055</f>
        <v>0</v>
      </c>
      <c r="J41" s="3" t="n">
        <f aca="false">I41-C41</f>
        <v>0</v>
      </c>
      <c r="K41" s="3" t="n">
        <f aca="false">J41*F41</f>
        <v>0</v>
      </c>
      <c r="L41" s="3" t="n">
        <f aca="false">K41*100</f>
        <v>0</v>
      </c>
      <c r="M41" s="3" t="n">
        <f aca="false">E41*F41</f>
        <v>0</v>
      </c>
      <c r="N41" s="3" t="n">
        <f aca="false">D41/1.055</f>
        <v>0</v>
      </c>
      <c r="O41" s="3" t="n">
        <f aca="false">N41-B41</f>
        <v>0</v>
      </c>
      <c r="P41" s="3" t="n">
        <f aca="false">O41*F41</f>
        <v>0</v>
      </c>
      <c r="Q41" s="3" t="n">
        <f aca="false">P41*100</f>
        <v>0</v>
      </c>
      <c r="R41" s="3" t="n">
        <f aca="false">D41*F41</f>
        <v>0</v>
      </c>
    </row>
    <row r="42" customFormat="false" ht="15" hidden="false" customHeight="true" outlineLevel="0" collapsed="false">
      <c r="G42" s="1" t="e">
        <f aca="false">Q42/R42</f>
        <v>#DIV/0!</v>
      </c>
      <c r="H42" s="1" t="e">
        <f aca="false">L42/M42</f>
        <v>#DIV/0!</v>
      </c>
      <c r="I42" s="3" t="n">
        <f aca="false">E42/1.055</f>
        <v>0</v>
      </c>
      <c r="J42" s="3" t="n">
        <f aca="false">I42-C42</f>
        <v>0</v>
      </c>
      <c r="K42" s="3" t="n">
        <f aca="false">J42*F42</f>
        <v>0</v>
      </c>
      <c r="L42" s="3" t="n">
        <f aca="false">K42*100</f>
        <v>0</v>
      </c>
      <c r="M42" s="3" t="n">
        <f aca="false">E42*F42</f>
        <v>0</v>
      </c>
      <c r="N42" s="3" t="n">
        <f aca="false">D42/1.055</f>
        <v>0</v>
      </c>
      <c r="O42" s="3" t="n">
        <f aca="false">N42-B42</f>
        <v>0</v>
      </c>
      <c r="P42" s="3" t="n">
        <f aca="false">O42*F42</f>
        <v>0</v>
      </c>
      <c r="Q42" s="3" t="n">
        <f aca="false">P42*100</f>
        <v>0</v>
      </c>
      <c r="R42" s="3" t="n">
        <f aca="false">D42*F42</f>
        <v>0</v>
      </c>
    </row>
    <row r="43" customFormat="false" ht="15" hidden="false" customHeight="true" outlineLevel="0" collapsed="false">
      <c r="G43" s="1" t="e">
        <f aca="false">Q43/R43</f>
        <v>#DIV/0!</v>
      </c>
      <c r="H43" s="1" t="e">
        <f aca="false">L43/M43</f>
        <v>#DIV/0!</v>
      </c>
      <c r="I43" s="3" t="n">
        <f aca="false">E43/1.055</f>
        <v>0</v>
      </c>
      <c r="J43" s="3" t="n">
        <f aca="false">I43-C43</f>
        <v>0</v>
      </c>
      <c r="K43" s="3" t="n">
        <f aca="false">J43*F43</f>
        <v>0</v>
      </c>
      <c r="L43" s="3" t="n">
        <f aca="false">K43*100</f>
        <v>0</v>
      </c>
      <c r="M43" s="3" t="n">
        <f aca="false">E43*F43</f>
        <v>0</v>
      </c>
      <c r="N43" s="3" t="n">
        <f aca="false">D43/1.055</f>
        <v>0</v>
      </c>
      <c r="O43" s="3" t="n">
        <f aca="false">N43-B43</f>
        <v>0</v>
      </c>
      <c r="P43" s="3" t="n">
        <f aca="false">O43*F43</f>
        <v>0</v>
      </c>
      <c r="Q43" s="3" t="n">
        <f aca="false">P43*100</f>
        <v>0</v>
      </c>
      <c r="R43" s="3" t="n">
        <f aca="false">D43*F43</f>
        <v>0</v>
      </c>
    </row>
    <row r="44" customFormat="false" ht="15" hidden="false" customHeight="true" outlineLevel="0" collapsed="false">
      <c r="G44" s="1" t="e">
        <f aca="false">Q44/R44</f>
        <v>#DIV/0!</v>
      </c>
      <c r="H44" s="1" t="e">
        <f aca="false">L44/M44</f>
        <v>#DIV/0!</v>
      </c>
      <c r="I44" s="3" t="n">
        <f aca="false">E44/1.055</f>
        <v>0</v>
      </c>
      <c r="J44" s="3" t="n">
        <f aca="false">I44-C44</f>
        <v>0</v>
      </c>
      <c r="K44" s="3" t="n">
        <f aca="false">J44*F44</f>
        <v>0</v>
      </c>
      <c r="L44" s="3" t="n">
        <f aca="false">K44*100</f>
        <v>0</v>
      </c>
      <c r="M44" s="3" t="n">
        <f aca="false">E44*F44</f>
        <v>0</v>
      </c>
      <c r="N44" s="3" t="n">
        <f aca="false">D44/1.055</f>
        <v>0</v>
      </c>
      <c r="O44" s="3" t="n">
        <f aca="false">N44-B44</f>
        <v>0</v>
      </c>
      <c r="P44" s="3" t="n">
        <f aca="false">O44*F44</f>
        <v>0</v>
      </c>
      <c r="Q44" s="3" t="n">
        <f aca="false">P44*100</f>
        <v>0</v>
      </c>
      <c r="R44" s="3" t="n">
        <f aca="false">D44*F44</f>
        <v>0</v>
      </c>
    </row>
    <row r="45" customFormat="false" ht="15" hidden="false" customHeight="true" outlineLevel="0" collapsed="false">
      <c r="G45" s="1" t="e">
        <f aca="false">Q45/R45</f>
        <v>#DIV/0!</v>
      </c>
      <c r="H45" s="1" t="e">
        <f aca="false">L45/M45</f>
        <v>#DIV/0!</v>
      </c>
      <c r="I45" s="3" t="n">
        <f aca="false">E45/1.055</f>
        <v>0</v>
      </c>
      <c r="J45" s="3" t="n">
        <f aca="false">I45-C45</f>
        <v>0</v>
      </c>
      <c r="K45" s="3" t="n">
        <f aca="false">J45*F45</f>
        <v>0</v>
      </c>
      <c r="L45" s="3" t="n">
        <f aca="false">K45*100</f>
        <v>0</v>
      </c>
      <c r="M45" s="3" t="n">
        <f aca="false">E45*F45</f>
        <v>0</v>
      </c>
      <c r="N45" s="3" t="n">
        <f aca="false">D45/1.055</f>
        <v>0</v>
      </c>
      <c r="O45" s="3" t="n">
        <f aca="false">N45-B45</f>
        <v>0</v>
      </c>
      <c r="P45" s="3" t="n">
        <f aca="false">O45*F45</f>
        <v>0</v>
      </c>
      <c r="Q45" s="3" t="n">
        <f aca="false">P45*100</f>
        <v>0</v>
      </c>
      <c r="R45" s="3" t="n">
        <f aca="false">D45*F45</f>
        <v>0</v>
      </c>
    </row>
    <row r="46" customFormat="false" ht="15" hidden="false" customHeight="true" outlineLevel="0" collapsed="false">
      <c r="G46" s="1" t="e">
        <f aca="false">Q46/R46</f>
        <v>#DIV/0!</v>
      </c>
      <c r="H46" s="1" t="e">
        <f aca="false">L46/M46</f>
        <v>#DIV/0!</v>
      </c>
      <c r="I46" s="3" t="n">
        <f aca="false">E46/1.055</f>
        <v>0</v>
      </c>
      <c r="J46" s="3" t="n">
        <f aca="false">I46-C46</f>
        <v>0</v>
      </c>
      <c r="K46" s="3" t="n">
        <f aca="false">J46*F46</f>
        <v>0</v>
      </c>
      <c r="L46" s="3" t="n">
        <f aca="false">K46*100</f>
        <v>0</v>
      </c>
      <c r="M46" s="3" t="n">
        <f aca="false">E46*F46</f>
        <v>0</v>
      </c>
      <c r="N46" s="3" t="n">
        <f aca="false">D46/1.055</f>
        <v>0</v>
      </c>
      <c r="O46" s="3" t="n">
        <f aca="false">N46-B46</f>
        <v>0</v>
      </c>
      <c r="P46" s="3" t="n">
        <f aca="false">O46*F46</f>
        <v>0</v>
      </c>
      <c r="Q46" s="3" t="n">
        <f aca="false">P46*100</f>
        <v>0</v>
      </c>
      <c r="R46" s="3" t="n">
        <f aca="false">D46*F46</f>
        <v>0</v>
      </c>
    </row>
    <row r="47" customFormat="false" ht="15" hidden="false" customHeight="true" outlineLevel="0" collapsed="false">
      <c r="G47" s="1" t="e">
        <f aca="false">Q47/R47</f>
        <v>#DIV/0!</v>
      </c>
      <c r="H47" s="1" t="e">
        <f aca="false">L47/M47</f>
        <v>#DIV/0!</v>
      </c>
      <c r="I47" s="3" t="n">
        <f aca="false">E47/1.055</f>
        <v>0</v>
      </c>
      <c r="J47" s="3" t="n">
        <f aca="false">I47-C47</f>
        <v>0</v>
      </c>
      <c r="K47" s="3" t="n">
        <f aca="false">J47*F47</f>
        <v>0</v>
      </c>
      <c r="L47" s="3" t="n">
        <f aca="false">K47*100</f>
        <v>0</v>
      </c>
      <c r="M47" s="3" t="n">
        <f aca="false">E47*F47</f>
        <v>0</v>
      </c>
      <c r="N47" s="3" t="n">
        <f aca="false">D47/1.055</f>
        <v>0</v>
      </c>
      <c r="O47" s="3" t="n">
        <f aca="false">N47-B47</f>
        <v>0</v>
      </c>
      <c r="P47" s="3" t="n">
        <f aca="false">O47*F47</f>
        <v>0</v>
      </c>
      <c r="Q47" s="3" t="n">
        <f aca="false">P47*100</f>
        <v>0</v>
      </c>
      <c r="R47" s="3" t="n">
        <f aca="false">D47*F47</f>
        <v>0</v>
      </c>
    </row>
    <row r="48" customFormat="false" ht="15" hidden="false" customHeight="true" outlineLevel="0" collapsed="false">
      <c r="G48" s="1" t="e">
        <f aca="false">Q48/R48</f>
        <v>#DIV/0!</v>
      </c>
      <c r="H48" s="1" t="e">
        <f aca="false">L48/M48</f>
        <v>#DIV/0!</v>
      </c>
      <c r="I48" s="3" t="n">
        <f aca="false">E48/1.055</f>
        <v>0</v>
      </c>
      <c r="J48" s="3" t="n">
        <f aca="false">I48-C48</f>
        <v>0</v>
      </c>
      <c r="K48" s="3" t="n">
        <f aca="false">J48*F48</f>
        <v>0</v>
      </c>
      <c r="L48" s="3" t="n">
        <f aca="false">K48*100</f>
        <v>0</v>
      </c>
      <c r="M48" s="3" t="n">
        <f aca="false">E48*F48</f>
        <v>0</v>
      </c>
      <c r="N48" s="3" t="n">
        <f aca="false">D48/1.055</f>
        <v>0</v>
      </c>
      <c r="O48" s="3" t="n">
        <f aca="false">N48-B48</f>
        <v>0</v>
      </c>
      <c r="P48" s="3" t="n">
        <f aca="false">O48*F48</f>
        <v>0</v>
      </c>
      <c r="Q48" s="3" t="n">
        <f aca="false">P48*100</f>
        <v>0</v>
      </c>
      <c r="R48" s="3" t="n">
        <f aca="false">D48*F48</f>
        <v>0</v>
      </c>
    </row>
    <row r="49" customFormat="false" ht="15" hidden="false" customHeight="true" outlineLevel="0" collapsed="false">
      <c r="G49" s="1" t="e">
        <f aca="false">Q49/R49</f>
        <v>#DIV/0!</v>
      </c>
      <c r="H49" s="1" t="e">
        <f aca="false">L49/M49</f>
        <v>#DIV/0!</v>
      </c>
      <c r="I49" s="3" t="n">
        <f aca="false">E49/1.055</f>
        <v>0</v>
      </c>
      <c r="J49" s="3" t="n">
        <f aca="false">I49-C49</f>
        <v>0</v>
      </c>
      <c r="K49" s="3" t="n">
        <f aca="false">J49*F49</f>
        <v>0</v>
      </c>
      <c r="L49" s="3" t="n">
        <f aca="false">K49*100</f>
        <v>0</v>
      </c>
      <c r="M49" s="3" t="n">
        <f aca="false">E49*F49</f>
        <v>0</v>
      </c>
      <c r="N49" s="3" t="n">
        <f aca="false">D49/1.055</f>
        <v>0</v>
      </c>
      <c r="O49" s="3" t="n">
        <f aca="false">N49-B49</f>
        <v>0</v>
      </c>
      <c r="P49" s="3" t="n">
        <f aca="false">O49*F49</f>
        <v>0</v>
      </c>
      <c r="Q49" s="3" t="n">
        <f aca="false">P49*100</f>
        <v>0</v>
      </c>
      <c r="R49" s="3" t="n">
        <f aca="false">D49*F49</f>
        <v>0</v>
      </c>
    </row>
    <row r="50" customFormat="false" ht="15" hidden="false" customHeight="true" outlineLevel="0" collapsed="false">
      <c r="G50" s="1" t="e">
        <f aca="false">Q50/R50</f>
        <v>#DIV/0!</v>
      </c>
      <c r="H50" s="1" t="e">
        <f aca="false">L50/M50</f>
        <v>#DIV/0!</v>
      </c>
      <c r="I50" s="3" t="n">
        <f aca="false">E50/1.055</f>
        <v>0</v>
      </c>
      <c r="J50" s="3" t="n">
        <f aca="false">I50-C50</f>
        <v>0</v>
      </c>
      <c r="K50" s="3" t="n">
        <f aca="false">J50*F50</f>
        <v>0</v>
      </c>
      <c r="L50" s="3" t="n">
        <f aca="false">K50*100</f>
        <v>0</v>
      </c>
      <c r="M50" s="3" t="n">
        <f aca="false">E50*F50</f>
        <v>0</v>
      </c>
      <c r="N50" s="3" t="n">
        <f aca="false">D50/1.055</f>
        <v>0</v>
      </c>
      <c r="O50" s="3" t="n">
        <f aca="false">N50-B50</f>
        <v>0</v>
      </c>
      <c r="P50" s="3" t="n">
        <f aca="false">O50*F50</f>
        <v>0</v>
      </c>
      <c r="Q50" s="3" t="n">
        <f aca="false">P50*100</f>
        <v>0</v>
      </c>
      <c r="R50" s="3" t="n">
        <f aca="false">D50*F50</f>
        <v>0</v>
      </c>
    </row>
    <row r="51" customFormat="false" ht="15" hidden="false" customHeight="true" outlineLevel="0" collapsed="false">
      <c r="G51" s="1" t="e">
        <f aca="false">Q51/R51</f>
        <v>#DIV/0!</v>
      </c>
      <c r="H51" s="1" t="e">
        <f aca="false">L51/M51</f>
        <v>#DIV/0!</v>
      </c>
      <c r="I51" s="3" t="n">
        <f aca="false">E51/1.055</f>
        <v>0</v>
      </c>
      <c r="J51" s="3" t="n">
        <f aca="false">I51-C51</f>
        <v>0</v>
      </c>
      <c r="K51" s="3" t="n">
        <f aca="false">J51*F51</f>
        <v>0</v>
      </c>
      <c r="L51" s="3" t="n">
        <f aca="false">K51*100</f>
        <v>0</v>
      </c>
      <c r="M51" s="3" t="n">
        <f aca="false">E51*F51</f>
        <v>0</v>
      </c>
      <c r="N51" s="3" t="n">
        <f aca="false">D51/1.055</f>
        <v>0</v>
      </c>
      <c r="O51" s="3" t="n">
        <f aca="false">N51-B51</f>
        <v>0</v>
      </c>
      <c r="P51" s="3" t="n">
        <f aca="false">O51*F51</f>
        <v>0</v>
      </c>
      <c r="Q51" s="3" t="n">
        <f aca="false">P51*100</f>
        <v>0</v>
      </c>
      <c r="R51" s="3" t="n">
        <f aca="false">D51*F51</f>
        <v>0</v>
      </c>
    </row>
  </sheetData>
  <conditionalFormatting sqref="E50">
    <cfRule type="cellIs" priority="2" operator="lessThan" aboveAverage="0" equalAverage="0" bottom="0" percent="0" rank="0" text="" dxfId="0">
      <formula>$D$50</formula>
    </cfRule>
  </conditionalFormatting>
  <conditionalFormatting sqref="D50">
    <cfRule type="cellIs" priority="3" operator="lessThan" aboveAverage="0" equalAverage="0" bottom="0" percent="0" rank="0" text="" dxfId="0">
      <formula>$E$50</formula>
    </cfRule>
  </conditionalFormatting>
  <conditionalFormatting sqref="E49">
    <cfRule type="cellIs" priority="4" operator="lessThan" aboveAverage="0" equalAverage="0" bottom="0" percent="0" rank="0" text="" dxfId="0">
      <formula>$D$49</formula>
    </cfRule>
  </conditionalFormatting>
  <conditionalFormatting sqref="D49">
    <cfRule type="cellIs" priority="5" operator="lessThan" aboveAverage="0" equalAverage="0" bottom="0" percent="0" rank="0" text="" dxfId="0">
      <formula>$E$49</formula>
    </cfRule>
  </conditionalFormatting>
  <conditionalFormatting sqref="E48">
    <cfRule type="cellIs" priority="6" operator="lessThan" aboveAverage="0" equalAverage="0" bottom="0" percent="0" rank="0" text="" dxfId="0">
      <formula>$D$48</formula>
    </cfRule>
  </conditionalFormatting>
  <conditionalFormatting sqref="D48">
    <cfRule type="cellIs" priority="7" operator="lessThan" aboveAverage="0" equalAverage="0" bottom="0" percent="0" rank="0" text="" dxfId="0">
      <formula>$E$48</formula>
    </cfRule>
  </conditionalFormatting>
  <conditionalFormatting sqref="E47">
    <cfRule type="cellIs" priority="8" operator="lessThan" aboveAverage="0" equalAverage="0" bottom="0" percent="0" rank="0" text="" dxfId="0">
      <formula>$D$47</formula>
    </cfRule>
  </conditionalFormatting>
  <conditionalFormatting sqref="D47">
    <cfRule type="cellIs" priority="9" operator="lessThan" aboveAverage="0" equalAverage="0" bottom="0" percent="0" rank="0" text="" dxfId="0">
      <formula>$E$47</formula>
    </cfRule>
  </conditionalFormatting>
  <conditionalFormatting sqref="E46">
    <cfRule type="cellIs" priority="10" operator="lessThan" aboveAverage="0" equalAverage="0" bottom="0" percent="0" rank="0" text="" dxfId="0">
      <formula>$D$46</formula>
    </cfRule>
  </conditionalFormatting>
  <conditionalFormatting sqref="D46">
    <cfRule type="cellIs" priority="11" operator="lessThan" aboveAverage="0" equalAverage="0" bottom="0" percent="0" rank="0" text="" dxfId="0">
      <formula>$E$46</formula>
    </cfRule>
  </conditionalFormatting>
  <conditionalFormatting sqref="E45">
    <cfRule type="cellIs" priority="12" operator="lessThan" aboveAverage="0" equalAverage="0" bottom="0" percent="0" rank="0" text="" dxfId="0">
      <formula>$D$45</formula>
    </cfRule>
  </conditionalFormatting>
  <conditionalFormatting sqref="D45">
    <cfRule type="cellIs" priority="13" operator="lessThan" aboveAverage="0" equalAverage="0" bottom="0" percent="0" rank="0" text="" dxfId="0">
      <formula>$E$45</formula>
    </cfRule>
  </conditionalFormatting>
  <conditionalFormatting sqref="E44">
    <cfRule type="cellIs" priority="14" operator="lessThan" aboveAverage="0" equalAverage="0" bottom="0" percent="0" rank="0" text="" dxfId="0">
      <formula>$D$44</formula>
    </cfRule>
  </conditionalFormatting>
  <conditionalFormatting sqref="D44">
    <cfRule type="cellIs" priority="15" operator="lessThan" aboveAverage="0" equalAverage="0" bottom="0" percent="0" rank="0" text="" dxfId="0">
      <formula>$E$44</formula>
    </cfRule>
  </conditionalFormatting>
  <conditionalFormatting sqref="E43">
    <cfRule type="cellIs" priority="16" operator="lessThan" aboveAverage="0" equalAverage="0" bottom="0" percent="0" rank="0" text="" dxfId="0">
      <formula>$D$43</formula>
    </cfRule>
  </conditionalFormatting>
  <conditionalFormatting sqref="D43">
    <cfRule type="cellIs" priority="17" operator="lessThan" aboveAverage="0" equalAverage="0" bottom="0" percent="0" rank="0" text="" dxfId="0">
      <formula>$E$43</formula>
    </cfRule>
  </conditionalFormatting>
  <conditionalFormatting sqref="E42">
    <cfRule type="cellIs" priority="18" operator="lessThan" aboveAverage="0" equalAverage="0" bottom="0" percent="0" rank="0" text="" dxfId="0">
      <formula>$D$42</formula>
    </cfRule>
  </conditionalFormatting>
  <conditionalFormatting sqref="D42">
    <cfRule type="cellIs" priority="19" operator="lessThan" aboveAverage="0" equalAverage="0" bottom="0" percent="0" rank="0" text="" dxfId="0">
      <formula>$E$42</formula>
    </cfRule>
  </conditionalFormatting>
  <conditionalFormatting sqref="E41">
    <cfRule type="cellIs" priority="20" operator="lessThan" aboveAverage="0" equalAverage="0" bottom="0" percent="0" rank="0" text="" dxfId="0">
      <formula>$D$41</formula>
    </cfRule>
  </conditionalFormatting>
  <conditionalFormatting sqref="D41">
    <cfRule type="cellIs" priority="21" operator="lessThan" aboveAverage="0" equalAverage="0" bottom="0" percent="0" rank="0" text="" dxfId="0">
      <formula>$E$41</formula>
    </cfRule>
  </conditionalFormatting>
  <conditionalFormatting sqref="E40">
    <cfRule type="cellIs" priority="22" operator="lessThan" aboveAverage="0" equalAverage="0" bottom="0" percent="0" rank="0" text="" dxfId="0">
      <formula>$D$40</formula>
    </cfRule>
  </conditionalFormatting>
  <conditionalFormatting sqref="D40">
    <cfRule type="cellIs" priority="23" operator="lessThan" aboveAverage="0" equalAverage="0" bottom="0" percent="0" rank="0" text="" dxfId="0">
      <formula>$E$40</formula>
    </cfRule>
  </conditionalFormatting>
  <conditionalFormatting sqref="E39">
    <cfRule type="cellIs" priority="24" operator="lessThan" aboveAverage="0" equalAverage="0" bottom="0" percent="0" rank="0" text="" dxfId="0">
      <formula>$D$39</formula>
    </cfRule>
  </conditionalFormatting>
  <conditionalFormatting sqref="D39">
    <cfRule type="cellIs" priority="25" operator="lessThan" aboveAverage="0" equalAverage="0" bottom="0" percent="0" rank="0" text="" dxfId="0">
      <formula>$E$39</formula>
    </cfRule>
  </conditionalFormatting>
  <conditionalFormatting sqref="E38">
    <cfRule type="cellIs" priority="26" operator="lessThan" aboveAverage="0" equalAverage="0" bottom="0" percent="0" rank="0" text="" dxfId="0">
      <formula>$D$38</formula>
    </cfRule>
  </conditionalFormatting>
  <conditionalFormatting sqref="D38">
    <cfRule type="cellIs" priority="27" operator="lessThan" aboveAverage="0" equalAverage="0" bottom="0" percent="0" rank="0" text="" dxfId="0">
      <formula>$E$38</formula>
    </cfRule>
  </conditionalFormatting>
  <conditionalFormatting sqref="E37">
    <cfRule type="cellIs" priority="28" operator="lessThan" aboveAverage="0" equalAverage="0" bottom="0" percent="0" rank="0" text="" dxfId="0">
      <formula>$D$37</formula>
    </cfRule>
  </conditionalFormatting>
  <conditionalFormatting sqref="D37">
    <cfRule type="cellIs" priority="29" operator="lessThan" aboveAverage="0" equalAverage="0" bottom="0" percent="0" rank="0" text="" dxfId="0">
      <formula>$E$37</formula>
    </cfRule>
  </conditionalFormatting>
  <conditionalFormatting sqref="E36">
    <cfRule type="cellIs" priority="30" operator="lessThan" aboveAverage="0" equalAverage="0" bottom="0" percent="0" rank="0" text="" dxfId="0">
      <formula>$D$36</formula>
    </cfRule>
  </conditionalFormatting>
  <conditionalFormatting sqref="D36">
    <cfRule type="cellIs" priority="31" operator="lessThan" aboveAverage="0" equalAverage="0" bottom="0" percent="0" rank="0" text="" dxfId="0">
      <formula>$E$36</formula>
    </cfRule>
  </conditionalFormatting>
  <conditionalFormatting sqref="E35">
    <cfRule type="cellIs" priority="32" operator="lessThan" aboveAverage="0" equalAverage="0" bottom="0" percent="0" rank="0" text="" dxfId="0">
      <formula>$D$35</formula>
    </cfRule>
  </conditionalFormatting>
  <conditionalFormatting sqref="D35">
    <cfRule type="cellIs" priority="33" operator="lessThan" aboveAverage="0" equalAverage="0" bottom="0" percent="0" rank="0" text="" dxfId="0">
      <formula>$E$35</formula>
    </cfRule>
  </conditionalFormatting>
  <conditionalFormatting sqref="E34">
    <cfRule type="cellIs" priority="34" operator="lessThan" aboveAverage="0" equalAverage="0" bottom="0" percent="0" rank="0" text="" dxfId="0">
      <formula>$D$34</formula>
    </cfRule>
  </conditionalFormatting>
  <conditionalFormatting sqref="D34">
    <cfRule type="cellIs" priority="35" operator="lessThan" aboveAverage="0" equalAverage="0" bottom="0" percent="0" rank="0" text="" dxfId="0">
      <formula>$E$34</formula>
    </cfRule>
  </conditionalFormatting>
  <conditionalFormatting sqref="E33">
    <cfRule type="cellIs" priority="36" operator="lessThan" aboveAverage="0" equalAverage="0" bottom="0" percent="0" rank="0" text="" dxfId="0">
      <formula>$D$33</formula>
    </cfRule>
  </conditionalFormatting>
  <conditionalFormatting sqref="D33">
    <cfRule type="cellIs" priority="37" operator="lessThan" aboveAverage="0" equalAverage="0" bottom="0" percent="0" rank="0" text="" dxfId="0">
      <formula>$E$33</formula>
    </cfRule>
  </conditionalFormatting>
  <conditionalFormatting sqref="E32">
    <cfRule type="cellIs" priority="38" operator="lessThan" aboveAverage="0" equalAverage="0" bottom="0" percent="0" rank="0" text="" dxfId="0">
      <formula>$D$32</formula>
    </cfRule>
  </conditionalFormatting>
  <conditionalFormatting sqref="D32">
    <cfRule type="cellIs" priority="39" operator="lessThan" aboveAverage="0" equalAverage="0" bottom="0" percent="0" rank="0" text="" dxfId="0">
      <formula>$E$32</formula>
    </cfRule>
  </conditionalFormatting>
  <conditionalFormatting sqref="E31">
    <cfRule type="cellIs" priority="40" operator="lessThan" aboveAverage="0" equalAverage="0" bottom="0" percent="0" rank="0" text="" dxfId="0">
      <formula>$D$31</formula>
    </cfRule>
  </conditionalFormatting>
  <conditionalFormatting sqref="D31">
    <cfRule type="cellIs" priority="41" operator="lessThan" aboveAverage="0" equalAverage="0" bottom="0" percent="0" rank="0" text="" dxfId="0">
      <formula>$E$31</formula>
    </cfRule>
  </conditionalFormatting>
  <conditionalFormatting sqref="E30">
    <cfRule type="cellIs" priority="42" operator="lessThan" aboveAverage="0" equalAverage="0" bottom="0" percent="0" rank="0" text="" dxfId="0">
      <formula>$D$30</formula>
    </cfRule>
  </conditionalFormatting>
  <conditionalFormatting sqref="D30">
    <cfRule type="cellIs" priority="43" operator="lessThan" aboveAverage="0" equalAverage="0" bottom="0" percent="0" rank="0" text="" dxfId="0">
      <formula>$E$30</formula>
    </cfRule>
  </conditionalFormatting>
  <conditionalFormatting sqref="E29">
    <cfRule type="cellIs" priority="44" operator="lessThan" aboveAverage="0" equalAverage="0" bottom="0" percent="0" rank="0" text="" dxfId="0">
      <formula>$D$29</formula>
    </cfRule>
  </conditionalFormatting>
  <conditionalFormatting sqref="D29">
    <cfRule type="cellIs" priority="45" operator="lessThan" aboveAverage="0" equalAverage="0" bottom="0" percent="0" rank="0" text="" dxfId="0">
      <formula>$E$29</formula>
    </cfRule>
  </conditionalFormatting>
  <conditionalFormatting sqref="E28">
    <cfRule type="cellIs" priority="46" operator="lessThan" aboveAverage="0" equalAverage="0" bottom="0" percent="0" rank="0" text="" dxfId="0">
      <formula>$D$28</formula>
    </cfRule>
  </conditionalFormatting>
  <conditionalFormatting sqref="D28">
    <cfRule type="cellIs" priority="47" operator="lessThan" aboveAverage="0" equalAverage="0" bottom="0" percent="0" rank="0" text="" dxfId="0">
      <formula>$E$28</formula>
    </cfRule>
  </conditionalFormatting>
  <conditionalFormatting sqref="E27">
    <cfRule type="cellIs" priority="48" operator="lessThan" aboveAverage="0" equalAverage="0" bottom="0" percent="0" rank="0" text="" dxfId="0">
      <formula>$D$27</formula>
    </cfRule>
  </conditionalFormatting>
  <conditionalFormatting sqref="D27">
    <cfRule type="cellIs" priority="49" operator="lessThan" aboveAverage="0" equalAverage="0" bottom="0" percent="0" rank="0" text="" dxfId="0">
      <formula>$E$27</formula>
    </cfRule>
  </conditionalFormatting>
  <conditionalFormatting sqref="E26">
    <cfRule type="cellIs" priority="50" operator="lessThan" aboveAverage="0" equalAverage="0" bottom="0" percent="0" rank="0" text="" dxfId="0">
      <formula>$D$26</formula>
    </cfRule>
  </conditionalFormatting>
  <conditionalFormatting sqref="D26">
    <cfRule type="cellIs" priority="51" operator="lessThan" aboveAverage="0" equalAverage="0" bottom="0" percent="0" rank="0" text="" dxfId="0">
      <formula>$E$26</formula>
    </cfRule>
  </conditionalFormatting>
  <conditionalFormatting sqref="E25">
    <cfRule type="cellIs" priority="52" operator="lessThan" aboveAverage="0" equalAverage="0" bottom="0" percent="0" rank="0" text="" dxfId="0">
      <formula>$D$25</formula>
    </cfRule>
  </conditionalFormatting>
  <conditionalFormatting sqref="D25">
    <cfRule type="cellIs" priority="53" operator="lessThan" aboveAverage="0" equalAverage="0" bottom="0" percent="0" rank="0" text="" dxfId="0">
      <formula>$E$25</formula>
    </cfRule>
  </conditionalFormatting>
  <conditionalFormatting sqref="E24">
    <cfRule type="cellIs" priority="54" operator="lessThan" aboveAverage="0" equalAverage="0" bottom="0" percent="0" rank="0" text="" dxfId="0">
      <formula>$D$24</formula>
    </cfRule>
  </conditionalFormatting>
  <conditionalFormatting sqref="D24">
    <cfRule type="cellIs" priority="55" operator="lessThan" aboveAverage="0" equalAverage="0" bottom="0" percent="0" rank="0" text="" dxfId="0">
      <formula>$E$24</formula>
    </cfRule>
  </conditionalFormatting>
  <conditionalFormatting sqref="E23">
    <cfRule type="cellIs" priority="56" operator="lessThan" aboveAverage="0" equalAverage="0" bottom="0" percent="0" rank="0" text="" dxfId="0">
      <formula>$D$23</formula>
    </cfRule>
  </conditionalFormatting>
  <conditionalFormatting sqref="D23">
    <cfRule type="cellIs" priority="57" operator="lessThan" aboveAverage="0" equalAverage="0" bottom="0" percent="0" rank="0" text="" dxfId="0">
      <formula>$E$23</formula>
    </cfRule>
  </conditionalFormatting>
  <conditionalFormatting sqref="E22">
    <cfRule type="cellIs" priority="58" operator="lessThan" aboveAverage="0" equalAverage="0" bottom="0" percent="0" rank="0" text="" dxfId="0">
      <formula>$D$22</formula>
    </cfRule>
  </conditionalFormatting>
  <conditionalFormatting sqref="D22">
    <cfRule type="cellIs" priority="59" operator="lessThan" aboveAverage="0" equalAverage="0" bottom="0" percent="0" rank="0" text="" dxfId="0">
      <formula>$E$22</formula>
    </cfRule>
  </conditionalFormatting>
  <conditionalFormatting sqref="E21">
    <cfRule type="cellIs" priority="60" operator="lessThan" aboveAverage="0" equalAverage="0" bottom="0" percent="0" rank="0" text="" dxfId="0">
      <formula>$D$21</formula>
    </cfRule>
  </conditionalFormatting>
  <conditionalFormatting sqref="D21">
    <cfRule type="cellIs" priority="61" operator="lessThan" aboveAverage="0" equalAverage="0" bottom="0" percent="0" rank="0" text="" dxfId="0">
      <formula>$E$21</formula>
    </cfRule>
  </conditionalFormatting>
  <conditionalFormatting sqref="E20">
    <cfRule type="cellIs" priority="62" operator="lessThan" aboveAverage="0" equalAverage="0" bottom="0" percent="0" rank="0" text="" dxfId="0">
      <formula>$D$20</formula>
    </cfRule>
  </conditionalFormatting>
  <conditionalFormatting sqref="D20">
    <cfRule type="cellIs" priority="63" operator="lessThan" aboveAverage="0" equalAverage="0" bottom="0" percent="0" rank="0" text="" dxfId="0">
      <formula>$E$20</formula>
    </cfRule>
  </conditionalFormatting>
  <conditionalFormatting sqref="E19">
    <cfRule type="cellIs" priority="64" operator="lessThan" aboveAverage="0" equalAverage="0" bottom="0" percent="0" rank="0" text="" dxfId="0">
      <formula>$D$19</formula>
    </cfRule>
  </conditionalFormatting>
  <conditionalFormatting sqref="D19">
    <cfRule type="cellIs" priority="65" operator="lessThan" aboveAverage="0" equalAverage="0" bottom="0" percent="0" rank="0" text="" dxfId="0">
      <formula>$E$19</formula>
    </cfRule>
  </conditionalFormatting>
  <conditionalFormatting sqref="E18">
    <cfRule type="cellIs" priority="66" operator="lessThan" aboveAverage="0" equalAverage="0" bottom="0" percent="0" rank="0" text="" dxfId="0">
      <formula>$D$18</formula>
    </cfRule>
  </conditionalFormatting>
  <conditionalFormatting sqref="D18">
    <cfRule type="cellIs" priority="67" operator="lessThan" aboveAverage="0" equalAverage="0" bottom="0" percent="0" rank="0" text="" dxfId="0">
      <formula>$E$18</formula>
    </cfRule>
  </conditionalFormatting>
  <conditionalFormatting sqref="E17">
    <cfRule type="cellIs" priority="68" operator="lessThan" aboveAverage="0" equalAverage="0" bottom="0" percent="0" rank="0" text="" dxfId="0">
      <formula>$D$17</formula>
    </cfRule>
  </conditionalFormatting>
  <conditionalFormatting sqref="D17">
    <cfRule type="cellIs" priority="69" operator="lessThan" aboveAverage="0" equalAverage="0" bottom="0" percent="0" rank="0" text="" dxfId="0">
      <formula>$E$17</formula>
    </cfRule>
  </conditionalFormatting>
  <conditionalFormatting sqref="E16">
    <cfRule type="cellIs" priority="70" operator="lessThan" aboveAverage="0" equalAverage="0" bottom="0" percent="0" rank="0" text="" dxfId="0">
      <formula>$D$16</formula>
    </cfRule>
  </conditionalFormatting>
  <conditionalFormatting sqref="D16">
    <cfRule type="cellIs" priority="71" operator="lessThan" aboveAverage="0" equalAverage="0" bottom="0" percent="0" rank="0" text="" dxfId="0">
      <formula>$E$16</formula>
    </cfRule>
  </conditionalFormatting>
  <conditionalFormatting sqref="E15">
    <cfRule type="cellIs" priority="72" operator="lessThan" aboveAverage="0" equalAverage="0" bottom="0" percent="0" rank="0" text="" dxfId="0">
      <formula>$D$15</formula>
    </cfRule>
  </conditionalFormatting>
  <conditionalFormatting sqref="D15">
    <cfRule type="cellIs" priority="73" operator="lessThan" aboveAverage="0" equalAverage="0" bottom="0" percent="0" rank="0" text="" dxfId="0">
      <formula>$E$15</formula>
    </cfRule>
  </conditionalFormatting>
  <conditionalFormatting sqref="E14">
    <cfRule type="cellIs" priority="74" operator="lessThan" aboveAverage="0" equalAverage="0" bottom="0" percent="0" rank="0" text="" dxfId="0">
      <formula>$D$14</formula>
    </cfRule>
  </conditionalFormatting>
  <conditionalFormatting sqref="D14">
    <cfRule type="cellIs" priority="75" operator="lessThan" aboveAverage="0" equalAverage="0" bottom="0" percent="0" rank="0" text="" dxfId="0">
      <formula>$E$14</formula>
    </cfRule>
  </conditionalFormatting>
  <conditionalFormatting sqref="E13">
    <cfRule type="cellIs" priority="76" operator="lessThan" aboveAverage="0" equalAverage="0" bottom="0" percent="0" rank="0" text="" dxfId="0">
      <formula>$D$13</formula>
    </cfRule>
  </conditionalFormatting>
  <conditionalFormatting sqref="D13">
    <cfRule type="cellIs" priority="77" operator="lessThan" aboveAverage="0" equalAverage="0" bottom="0" percent="0" rank="0" text="" dxfId="0">
      <formula>$E$13</formula>
    </cfRule>
  </conditionalFormatting>
  <conditionalFormatting sqref="E12">
    <cfRule type="cellIs" priority="78" operator="lessThan" aboveAverage="0" equalAverage="0" bottom="0" percent="0" rank="0" text="" dxfId="0">
      <formula>$D$12</formula>
    </cfRule>
  </conditionalFormatting>
  <conditionalFormatting sqref="D12">
    <cfRule type="cellIs" priority="79" operator="lessThan" aboveAverage="0" equalAverage="0" bottom="0" percent="0" rank="0" text="" dxfId="0">
      <formula>$E$12</formula>
    </cfRule>
  </conditionalFormatting>
  <conditionalFormatting sqref="E11">
    <cfRule type="cellIs" priority="80" operator="lessThan" aboveAverage="0" equalAverage="0" bottom="0" percent="0" rank="0" text="" dxfId="0">
      <formula>$D$11</formula>
    </cfRule>
  </conditionalFormatting>
  <conditionalFormatting sqref="D11">
    <cfRule type="cellIs" priority="81" operator="lessThan" aboveAverage="0" equalAverage="0" bottom="0" percent="0" rank="0" text="" dxfId="0">
      <formula>$E$11</formula>
    </cfRule>
  </conditionalFormatting>
  <conditionalFormatting sqref="E10">
    <cfRule type="cellIs" priority="82" operator="lessThan" aboveAverage="0" equalAverage="0" bottom="0" percent="0" rank="0" text="" dxfId="0">
      <formula>$D$10</formula>
    </cfRule>
  </conditionalFormatting>
  <conditionalFormatting sqref="D10">
    <cfRule type="cellIs" priority="83" operator="lessThan" aboveAverage="0" equalAverage="0" bottom="0" percent="0" rank="0" text="" dxfId="0">
      <formula>$E$10</formula>
    </cfRule>
  </conditionalFormatting>
  <conditionalFormatting sqref="E9">
    <cfRule type="cellIs" priority="84" operator="lessThan" aboveAverage="0" equalAverage="0" bottom="0" percent="0" rank="0" text="" dxfId="0">
      <formula>$D$9</formula>
    </cfRule>
  </conditionalFormatting>
  <conditionalFormatting sqref="D9">
    <cfRule type="cellIs" priority="85" operator="lessThan" aboveAverage="0" equalAverage="0" bottom="0" percent="0" rank="0" text="" dxfId="0">
      <formula>$E$9</formula>
    </cfRule>
  </conditionalFormatting>
  <conditionalFormatting sqref="E8">
    <cfRule type="cellIs" priority="86" operator="lessThan" aboveAverage="0" equalAverage="0" bottom="0" percent="0" rank="0" text="" dxfId="0">
      <formula>$D$8</formula>
    </cfRule>
  </conditionalFormatting>
  <conditionalFormatting sqref="D8">
    <cfRule type="cellIs" priority="87" operator="lessThan" aboveAverage="0" equalAverage="0" bottom="0" percent="0" rank="0" text="" dxfId="0">
      <formula>$E$8</formula>
    </cfRule>
  </conditionalFormatting>
  <conditionalFormatting sqref="E7">
    <cfRule type="cellIs" priority="88" operator="lessThan" aboveAverage="0" equalAverage="0" bottom="0" percent="0" rank="0" text="" dxfId="0">
      <formula>$D$7</formula>
    </cfRule>
  </conditionalFormatting>
  <conditionalFormatting sqref="D7">
    <cfRule type="cellIs" priority="89" operator="lessThan" aboveAverage="0" equalAverage="0" bottom="0" percent="0" rank="0" text="" dxfId="0">
      <formula>$E$7</formula>
    </cfRule>
  </conditionalFormatting>
  <conditionalFormatting sqref="E6">
    <cfRule type="cellIs" priority="90" operator="lessThan" aboveAverage="0" equalAverage="0" bottom="0" percent="0" rank="0" text="" dxfId="0">
      <formula>$D$6</formula>
    </cfRule>
  </conditionalFormatting>
  <conditionalFormatting sqref="D6">
    <cfRule type="cellIs" priority="91" operator="lessThan" aboveAverage="0" equalAverage="0" bottom="0" percent="0" rank="0" text="" dxfId="0">
      <formula>$E$6</formula>
    </cfRule>
  </conditionalFormatting>
  <conditionalFormatting sqref="E5">
    <cfRule type="cellIs" priority="92" operator="lessThan" aboveAverage="0" equalAverage="0" bottom="0" percent="0" rank="0" text="" dxfId="0">
      <formula>$D$5</formula>
    </cfRule>
  </conditionalFormatting>
  <conditionalFormatting sqref="D5">
    <cfRule type="cellIs" priority="93" operator="lessThan" aboveAverage="0" equalAverage="0" bottom="0" percent="0" rank="0" text="" dxfId="0">
      <formula>$E$5</formula>
    </cfRule>
  </conditionalFormatting>
  <conditionalFormatting sqref="E4">
    <cfRule type="cellIs" priority="94" operator="lessThan" aboveAverage="0" equalAverage="0" bottom="0" percent="0" rank="0" text="" dxfId="0">
      <formula>$D$4</formula>
    </cfRule>
  </conditionalFormatting>
  <conditionalFormatting sqref="D4">
    <cfRule type="cellIs" priority="95" operator="lessThan" aboveAverage="0" equalAverage="0" bottom="0" percent="0" rank="0" text="" dxfId="0">
      <formula>$E$4</formula>
    </cfRule>
  </conditionalFormatting>
  <conditionalFormatting sqref="C50">
    <cfRule type="cellIs" priority="96" operator="lessThan" aboveAverage="0" equalAverage="0" bottom="0" percent="0" rank="0" text="" dxfId="0">
      <formula>$B$50</formula>
    </cfRule>
  </conditionalFormatting>
  <conditionalFormatting sqref="B50">
    <cfRule type="cellIs" priority="97" operator="lessThan" aboveAverage="0" equalAverage="0" bottom="0" percent="0" rank="0" text="" dxfId="0">
      <formula>$C$50</formula>
    </cfRule>
  </conditionalFormatting>
  <conditionalFormatting sqref="C49">
    <cfRule type="cellIs" priority="98" operator="lessThan" aboveAverage="0" equalAverage="0" bottom="0" percent="0" rank="0" text="" dxfId="0">
      <formula>$B$49</formula>
    </cfRule>
  </conditionalFormatting>
  <conditionalFormatting sqref="B49">
    <cfRule type="cellIs" priority="99" operator="lessThan" aboveAverage="0" equalAverage="0" bottom="0" percent="0" rank="0" text="" dxfId="0">
      <formula>$C$49</formula>
    </cfRule>
  </conditionalFormatting>
  <conditionalFormatting sqref="C48">
    <cfRule type="cellIs" priority="100" operator="lessThan" aboveAverage="0" equalAverage="0" bottom="0" percent="0" rank="0" text="" dxfId="0">
      <formula>$B$48</formula>
    </cfRule>
  </conditionalFormatting>
  <conditionalFormatting sqref="B48">
    <cfRule type="cellIs" priority="101" operator="lessThan" aboveAverage="0" equalAverage="0" bottom="0" percent="0" rank="0" text="" dxfId="0">
      <formula>$C$48</formula>
    </cfRule>
  </conditionalFormatting>
  <conditionalFormatting sqref="C47">
    <cfRule type="cellIs" priority="102" operator="lessThan" aboveAverage="0" equalAverage="0" bottom="0" percent="0" rank="0" text="" dxfId="0">
      <formula>$B$47</formula>
    </cfRule>
  </conditionalFormatting>
  <conditionalFormatting sqref="B47">
    <cfRule type="cellIs" priority="103" operator="lessThan" aboveAverage="0" equalAverage="0" bottom="0" percent="0" rank="0" text="" dxfId="0">
      <formula>$C$47</formula>
    </cfRule>
  </conditionalFormatting>
  <conditionalFormatting sqref="C46">
    <cfRule type="cellIs" priority="104" operator="lessThan" aboveAverage="0" equalAverage="0" bottom="0" percent="0" rank="0" text="" dxfId="0">
      <formula>$B$46</formula>
    </cfRule>
  </conditionalFormatting>
  <conditionalFormatting sqref="B46">
    <cfRule type="cellIs" priority="105" operator="lessThan" aboveAverage="0" equalAverage="0" bottom="0" percent="0" rank="0" text="" dxfId="0">
      <formula>$C$46</formula>
    </cfRule>
  </conditionalFormatting>
  <conditionalFormatting sqref="C45">
    <cfRule type="cellIs" priority="106" operator="lessThan" aboveAverage="0" equalAverage="0" bottom="0" percent="0" rank="0" text="" dxfId="0">
      <formula>$B$45</formula>
    </cfRule>
  </conditionalFormatting>
  <conditionalFormatting sqref="B45">
    <cfRule type="cellIs" priority="107" operator="lessThan" aboveAverage="0" equalAverage="0" bottom="0" percent="0" rank="0" text="" dxfId="0">
      <formula>$C$45</formula>
    </cfRule>
  </conditionalFormatting>
  <conditionalFormatting sqref="C44">
    <cfRule type="cellIs" priority="108" operator="lessThan" aboveAverage="0" equalAverage="0" bottom="0" percent="0" rank="0" text="" dxfId="0">
      <formula>$B$44</formula>
    </cfRule>
  </conditionalFormatting>
  <conditionalFormatting sqref="B44">
    <cfRule type="cellIs" priority="109" operator="lessThan" aboveAverage="0" equalAverage="0" bottom="0" percent="0" rank="0" text="" dxfId="0">
      <formula>$C$44</formula>
    </cfRule>
  </conditionalFormatting>
  <conditionalFormatting sqref="C43">
    <cfRule type="cellIs" priority="110" operator="lessThan" aboveAverage="0" equalAverage="0" bottom="0" percent="0" rank="0" text="" dxfId="0">
      <formula>$B$43</formula>
    </cfRule>
  </conditionalFormatting>
  <conditionalFormatting sqref="B43">
    <cfRule type="cellIs" priority="111" operator="lessThan" aboveAverage="0" equalAverage="0" bottom="0" percent="0" rank="0" text="" dxfId="0">
      <formula>$C$43</formula>
    </cfRule>
  </conditionalFormatting>
  <conditionalFormatting sqref="C42">
    <cfRule type="cellIs" priority="112" operator="lessThan" aboveAverage="0" equalAverage="0" bottom="0" percent="0" rank="0" text="" dxfId="0">
      <formula>$B$42</formula>
    </cfRule>
  </conditionalFormatting>
  <conditionalFormatting sqref="B42">
    <cfRule type="cellIs" priority="113" operator="lessThan" aboveAverage="0" equalAverage="0" bottom="0" percent="0" rank="0" text="" dxfId="0">
      <formula>$C$42</formula>
    </cfRule>
  </conditionalFormatting>
  <conditionalFormatting sqref="C41">
    <cfRule type="cellIs" priority="114" operator="lessThan" aboveAverage="0" equalAverage="0" bottom="0" percent="0" rank="0" text="" dxfId="0">
      <formula>$B$41</formula>
    </cfRule>
  </conditionalFormatting>
  <conditionalFormatting sqref="B41">
    <cfRule type="cellIs" priority="115" operator="lessThan" aboveAverage="0" equalAverage="0" bottom="0" percent="0" rank="0" text="" dxfId="0">
      <formula>$C$41</formula>
    </cfRule>
  </conditionalFormatting>
  <conditionalFormatting sqref="C40">
    <cfRule type="cellIs" priority="116" operator="lessThan" aboveAverage="0" equalAverage="0" bottom="0" percent="0" rank="0" text="" dxfId="0">
      <formula>$B$40</formula>
    </cfRule>
  </conditionalFormatting>
  <conditionalFormatting sqref="B40">
    <cfRule type="cellIs" priority="117" operator="lessThan" aboveAverage="0" equalAverage="0" bottom="0" percent="0" rank="0" text="" dxfId="0">
      <formula>$C$40</formula>
    </cfRule>
  </conditionalFormatting>
  <conditionalFormatting sqref="C39">
    <cfRule type="cellIs" priority="118" operator="lessThan" aboveAverage="0" equalAverage="0" bottom="0" percent="0" rank="0" text="" dxfId="0">
      <formula>$B$39</formula>
    </cfRule>
  </conditionalFormatting>
  <conditionalFormatting sqref="B39">
    <cfRule type="cellIs" priority="119" operator="lessThan" aboveAverage="0" equalAverage="0" bottom="0" percent="0" rank="0" text="" dxfId="0">
      <formula>$C$39</formula>
    </cfRule>
  </conditionalFormatting>
  <conditionalFormatting sqref="C38">
    <cfRule type="cellIs" priority="120" operator="lessThan" aboveAverage="0" equalAverage="0" bottom="0" percent="0" rank="0" text="" dxfId="0">
      <formula>$B$38</formula>
    </cfRule>
  </conditionalFormatting>
  <conditionalFormatting sqref="B38">
    <cfRule type="cellIs" priority="121" operator="lessThan" aboveAverage="0" equalAverage="0" bottom="0" percent="0" rank="0" text="" dxfId="0">
      <formula>$C$38</formula>
    </cfRule>
  </conditionalFormatting>
  <conditionalFormatting sqref="C37">
    <cfRule type="cellIs" priority="122" operator="lessThan" aboveAverage="0" equalAverage="0" bottom="0" percent="0" rank="0" text="" dxfId="0">
      <formula>$B$37</formula>
    </cfRule>
  </conditionalFormatting>
  <conditionalFormatting sqref="B37">
    <cfRule type="cellIs" priority="123" operator="lessThan" aboveAverage="0" equalAverage="0" bottom="0" percent="0" rank="0" text="" dxfId="0">
      <formula>$C$37</formula>
    </cfRule>
  </conditionalFormatting>
  <conditionalFormatting sqref="C36">
    <cfRule type="cellIs" priority="124" operator="lessThan" aboveAverage="0" equalAverage="0" bottom="0" percent="0" rank="0" text="" dxfId="0">
      <formula>$B$36</formula>
    </cfRule>
  </conditionalFormatting>
  <conditionalFormatting sqref="B36">
    <cfRule type="cellIs" priority="125" operator="lessThan" aboveAverage="0" equalAverage="0" bottom="0" percent="0" rank="0" text="" dxfId="0">
      <formula>$C$36</formula>
    </cfRule>
  </conditionalFormatting>
  <conditionalFormatting sqref="C35">
    <cfRule type="cellIs" priority="126" operator="lessThan" aboveAverage="0" equalAverage="0" bottom="0" percent="0" rank="0" text="" dxfId="0">
      <formula>$B$35</formula>
    </cfRule>
  </conditionalFormatting>
  <conditionalFormatting sqref="B35">
    <cfRule type="cellIs" priority="127" operator="lessThan" aboveAverage="0" equalAverage="0" bottom="0" percent="0" rank="0" text="" dxfId="0">
      <formula>$C$35</formula>
    </cfRule>
  </conditionalFormatting>
  <conditionalFormatting sqref="C34">
    <cfRule type="cellIs" priority="128" operator="lessThan" aboveAverage="0" equalAverage="0" bottom="0" percent="0" rank="0" text="" dxfId="0">
      <formula>$B$34</formula>
    </cfRule>
  </conditionalFormatting>
  <conditionalFormatting sqref="B34">
    <cfRule type="cellIs" priority="129" operator="lessThan" aboveAverage="0" equalAverage="0" bottom="0" percent="0" rank="0" text="" dxfId="0">
      <formula>$C$34</formula>
    </cfRule>
  </conditionalFormatting>
  <conditionalFormatting sqref="C33">
    <cfRule type="cellIs" priority="130" operator="lessThan" aboveAverage="0" equalAverage="0" bottom="0" percent="0" rank="0" text="" dxfId="0">
      <formula>$B$33</formula>
    </cfRule>
  </conditionalFormatting>
  <conditionalFormatting sqref="B33">
    <cfRule type="cellIs" priority="131" operator="lessThan" aboveAverage="0" equalAverage="0" bottom="0" percent="0" rank="0" text="" dxfId="0">
      <formula>$C$33</formula>
    </cfRule>
  </conditionalFormatting>
  <conditionalFormatting sqref="C32">
    <cfRule type="cellIs" priority="132" operator="lessThan" aboveAverage="0" equalAverage="0" bottom="0" percent="0" rank="0" text="" dxfId="0">
      <formula>$B$32</formula>
    </cfRule>
  </conditionalFormatting>
  <conditionalFormatting sqref="B32">
    <cfRule type="cellIs" priority="133" operator="lessThan" aboveAverage="0" equalAverage="0" bottom="0" percent="0" rank="0" text="" dxfId="0">
      <formula>$C$32</formula>
    </cfRule>
  </conditionalFormatting>
  <conditionalFormatting sqref="C31">
    <cfRule type="cellIs" priority="134" operator="lessThan" aboveAverage="0" equalAverage="0" bottom="0" percent="0" rank="0" text="" dxfId="0">
      <formula>$B$31</formula>
    </cfRule>
  </conditionalFormatting>
  <conditionalFormatting sqref="B31">
    <cfRule type="cellIs" priority="135" operator="lessThan" aboveAverage="0" equalAverage="0" bottom="0" percent="0" rank="0" text="" dxfId="0">
      <formula>$C$31</formula>
    </cfRule>
  </conditionalFormatting>
  <conditionalFormatting sqref="C30">
    <cfRule type="cellIs" priority="136" operator="lessThan" aboveAverage="0" equalAverage="0" bottom="0" percent="0" rank="0" text="" dxfId="0">
      <formula>$B$30</formula>
    </cfRule>
  </conditionalFormatting>
  <conditionalFormatting sqref="B30">
    <cfRule type="cellIs" priority="137" operator="lessThan" aboveAverage="0" equalAverage="0" bottom="0" percent="0" rank="0" text="" dxfId="0">
      <formula>$C$30</formula>
    </cfRule>
  </conditionalFormatting>
  <conditionalFormatting sqref="C29">
    <cfRule type="cellIs" priority="138" operator="lessThan" aboveAverage="0" equalAverage="0" bottom="0" percent="0" rank="0" text="" dxfId="0">
      <formula>$B$29</formula>
    </cfRule>
  </conditionalFormatting>
  <conditionalFormatting sqref="B29">
    <cfRule type="cellIs" priority="139" operator="lessThan" aboveAverage="0" equalAverage="0" bottom="0" percent="0" rank="0" text="" dxfId="0">
      <formula>$C$29</formula>
    </cfRule>
  </conditionalFormatting>
  <conditionalFormatting sqref="C28">
    <cfRule type="cellIs" priority="140" operator="lessThan" aboveAverage="0" equalAverage="0" bottom="0" percent="0" rank="0" text="" dxfId="0">
      <formula>$B$28</formula>
    </cfRule>
  </conditionalFormatting>
  <conditionalFormatting sqref="B28">
    <cfRule type="cellIs" priority="141" operator="lessThan" aboveAverage="0" equalAverage="0" bottom="0" percent="0" rank="0" text="" dxfId="0">
      <formula>$C$28</formula>
    </cfRule>
  </conditionalFormatting>
  <conditionalFormatting sqref="C27">
    <cfRule type="cellIs" priority="142" operator="lessThan" aboveAverage="0" equalAverage="0" bottom="0" percent="0" rank="0" text="" dxfId="0">
      <formula>$B$27</formula>
    </cfRule>
  </conditionalFormatting>
  <conditionalFormatting sqref="B27">
    <cfRule type="cellIs" priority="143" operator="lessThan" aboveAverage="0" equalAverage="0" bottom="0" percent="0" rank="0" text="" dxfId="0">
      <formula>$C$27</formula>
    </cfRule>
  </conditionalFormatting>
  <conditionalFormatting sqref="C26">
    <cfRule type="cellIs" priority="144" operator="lessThan" aboveAverage="0" equalAverage="0" bottom="0" percent="0" rank="0" text="" dxfId="0">
      <formula>$B$26</formula>
    </cfRule>
  </conditionalFormatting>
  <conditionalFormatting sqref="B26">
    <cfRule type="cellIs" priority="145" operator="lessThan" aboveAverage="0" equalAverage="0" bottom="0" percent="0" rank="0" text="" dxfId="0">
      <formula>$C$26</formula>
    </cfRule>
  </conditionalFormatting>
  <conditionalFormatting sqref="C25">
    <cfRule type="cellIs" priority="146" operator="lessThan" aboveAverage="0" equalAverage="0" bottom="0" percent="0" rank="0" text="" dxfId="0">
      <formula>$B$25</formula>
    </cfRule>
  </conditionalFormatting>
  <conditionalFormatting sqref="B25">
    <cfRule type="cellIs" priority="147" operator="lessThan" aboveAverage="0" equalAverage="0" bottom="0" percent="0" rank="0" text="" dxfId="0">
      <formula>$C$25</formula>
    </cfRule>
  </conditionalFormatting>
  <conditionalFormatting sqref="C24">
    <cfRule type="cellIs" priority="148" operator="lessThan" aboveAverage="0" equalAverage="0" bottom="0" percent="0" rank="0" text="" dxfId="0">
      <formula>$B$24</formula>
    </cfRule>
  </conditionalFormatting>
  <conditionalFormatting sqref="B24">
    <cfRule type="cellIs" priority="149" operator="lessThan" aboveAverage="0" equalAverage="0" bottom="0" percent="0" rank="0" text="" dxfId="0">
      <formula>$C$24</formula>
    </cfRule>
  </conditionalFormatting>
  <conditionalFormatting sqref="C23">
    <cfRule type="cellIs" priority="150" operator="lessThan" aboveAverage="0" equalAverage="0" bottom="0" percent="0" rank="0" text="" dxfId="0">
      <formula>$B$23</formula>
    </cfRule>
  </conditionalFormatting>
  <conditionalFormatting sqref="B23">
    <cfRule type="cellIs" priority="151" operator="lessThan" aboveAverage="0" equalAverage="0" bottom="0" percent="0" rank="0" text="" dxfId="0">
      <formula>$C$23</formula>
    </cfRule>
  </conditionalFormatting>
  <conditionalFormatting sqref="C22">
    <cfRule type="cellIs" priority="152" operator="lessThan" aboveAverage="0" equalAverage="0" bottom="0" percent="0" rank="0" text="" dxfId="0">
      <formula>$B$22</formula>
    </cfRule>
  </conditionalFormatting>
  <conditionalFormatting sqref="B22">
    <cfRule type="cellIs" priority="153" operator="lessThan" aboveAverage="0" equalAverage="0" bottom="0" percent="0" rank="0" text="" dxfId="0">
      <formula>$C$22</formula>
    </cfRule>
  </conditionalFormatting>
  <conditionalFormatting sqref="C21">
    <cfRule type="cellIs" priority="154" operator="lessThan" aboveAverage="0" equalAverage="0" bottom="0" percent="0" rank="0" text="" dxfId="0">
      <formula>$B$21</formula>
    </cfRule>
  </conditionalFormatting>
  <conditionalFormatting sqref="B21">
    <cfRule type="cellIs" priority="155" operator="lessThan" aboveAverage="0" equalAverage="0" bottom="0" percent="0" rank="0" text="" dxfId="0">
      <formula>$C$21</formula>
    </cfRule>
  </conditionalFormatting>
  <conditionalFormatting sqref="C20">
    <cfRule type="cellIs" priority="156" operator="lessThan" aboveAverage="0" equalAverage="0" bottom="0" percent="0" rank="0" text="" dxfId="0">
      <formula>$B$20</formula>
    </cfRule>
  </conditionalFormatting>
  <conditionalFormatting sqref="B20">
    <cfRule type="cellIs" priority="157" operator="lessThan" aboveAverage="0" equalAverage="0" bottom="0" percent="0" rank="0" text="" dxfId="0">
      <formula>$C$20</formula>
    </cfRule>
  </conditionalFormatting>
  <conditionalFormatting sqref="B19">
    <cfRule type="cellIs" priority="158" operator="lessThan" aboveAverage="0" equalAverage="0" bottom="0" percent="0" rank="0" text="" dxfId="0">
      <formula>$C$19</formula>
    </cfRule>
  </conditionalFormatting>
  <conditionalFormatting sqref="C19">
    <cfRule type="cellIs" priority="159" operator="lessThan" aboveAverage="0" equalAverage="0" bottom="0" percent="0" rank="0" text="" dxfId="0">
      <formula>$B$19</formula>
    </cfRule>
  </conditionalFormatting>
  <conditionalFormatting sqref="C18">
    <cfRule type="cellIs" priority="160" operator="lessThan" aboveAverage="0" equalAverage="0" bottom="0" percent="0" rank="0" text="" dxfId="0">
      <formula>$B$18</formula>
    </cfRule>
  </conditionalFormatting>
  <conditionalFormatting sqref="B18">
    <cfRule type="cellIs" priority="161" operator="lessThan" aboveAverage="0" equalAverage="0" bottom="0" percent="0" rank="0" text="" dxfId="0">
      <formula>$C$18</formula>
    </cfRule>
  </conditionalFormatting>
  <conditionalFormatting sqref="C17">
    <cfRule type="cellIs" priority="162" operator="lessThan" aboveAverage="0" equalAverage="0" bottom="0" percent="0" rank="0" text="" dxfId="0">
      <formula>$B$17</formula>
    </cfRule>
  </conditionalFormatting>
  <conditionalFormatting sqref="B17">
    <cfRule type="cellIs" priority="163" operator="lessThan" aboveAverage="0" equalAverage="0" bottom="0" percent="0" rank="0" text="" dxfId="0">
      <formula>$C$17</formula>
    </cfRule>
  </conditionalFormatting>
  <conditionalFormatting sqref="C16">
    <cfRule type="cellIs" priority="164" operator="lessThan" aboveAverage="0" equalAverage="0" bottom="0" percent="0" rank="0" text="" dxfId="0">
      <formula>$B$16</formula>
    </cfRule>
  </conditionalFormatting>
  <conditionalFormatting sqref="B16">
    <cfRule type="cellIs" priority="165" operator="lessThan" aboveAverage="0" equalAverage="0" bottom="0" percent="0" rank="0" text="" dxfId="0">
      <formula>$C$16</formula>
    </cfRule>
  </conditionalFormatting>
  <conditionalFormatting sqref="C15">
    <cfRule type="cellIs" priority="166" operator="lessThan" aboveAverage="0" equalAverage="0" bottom="0" percent="0" rank="0" text="" dxfId="0">
      <formula>$B$15</formula>
    </cfRule>
  </conditionalFormatting>
  <conditionalFormatting sqref="B15">
    <cfRule type="cellIs" priority="167" operator="lessThan" aboveAverage="0" equalAverage="0" bottom="0" percent="0" rank="0" text="" dxfId="0">
      <formula>$C$15</formula>
    </cfRule>
  </conditionalFormatting>
  <conditionalFormatting sqref="C14">
    <cfRule type="cellIs" priority="168" operator="lessThan" aboveAverage="0" equalAverage="0" bottom="0" percent="0" rank="0" text="" dxfId="0">
      <formula>$B$14</formula>
    </cfRule>
  </conditionalFormatting>
  <conditionalFormatting sqref="B14">
    <cfRule type="cellIs" priority="169" operator="lessThan" aboveAverage="0" equalAverage="0" bottom="0" percent="0" rank="0" text="" dxfId="0">
      <formula>$C$14</formula>
    </cfRule>
  </conditionalFormatting>
  <conditionalFormatting sqref="C13">
    <cfRule type="cellIs" priority="170" operator="lessThan" aboveAverage="0" equalAverage="0" bottom="0" percent="0" rank="0" text="" dxfId="0">
      <formula>$B$13</formula>
    </cfRule>
  </conditionalFormatting>
  <conditionalFormatting sqref="B13">
    <cfRule type="cellIs" priority="171" operator="lessThan" aboveAverage="0" equalAverage="0" bottom="0" percent="0" rank="0" text="" dxfId="0">
      <formula>$C$13</formula>
    </cfRule>
  </conditionalFormatting>
  <conditionalFormatting sqref="C12">
    <cfRule type="cellIs" priority="172" operator="lessThan" aboveAverage="0" equalAverage="0" bottom="0" percent="0" rank="0" text="" dxfId="0">
      <formula>$B$12</formula>
    </cfRule>
  </conditionalFormatting>
  <conditionalFormatting sqref="B12">
    <cfRule type="cellIs" priority="173" operator="lessThan" aboveAverage="0" equalAverage="0" bottom="0" percent="0" rank="0" text="" dxfId="0">
      <formula>$C$12</formula>
    </cfRule>
  </conditionalFormatting>
  <conditionalFormatting sqref="C11">
    <cfRule type="cellIs" priority="174" operator="lessThan" aboveAverage="0" equalAverage="0" bottom="0" percent="0" rank="0" text="" dxfId="0">
      <formula>$B$11</formula>
    </cfRule>
  </conditionalFormatting>
  <conditionalFormatting sqref="B11">
    <cfRule type="cellIs" priority="175" operator="lessThan" aboveAverage="0" equalAverage="0" bottom="0" percent="0" rank="0" text="" dxfId="0">
      <formula>$C$11</formula>
    </cfRule>
  </conditionalFormatting>
  <conditionalFormatting sqref="C10">
    <cfRule type="cellIs" priority="176" operator="lessThan" aboveAverage="0" equalAverage="0" bottom="0" percent="0" rank="0" text="" dxfId="0">
      <formula>$B$10</formula>
    </cfRule>
  </conditionalFormatting>
  <conditionalFormatting sqref="B10">
    <cfRule type="cellIs" priority="177" operator="lessThan" aboveAverage="0" equalAverage="0" bottom="0" percent="0" rank="0" text="" dxfId="0">
      <formula>$C$10</formula>
    </cfRule>
  </conditionalFormatting>
  <conditionalFormatting sqref="C9">
    <cfRule type="cellIs" priority="178" operator="lessThan" aboveAverage="0" equalAverage="0" bottom="0" percent="0" rank="0" text="" dxfId="0">
      <formula>$B$9</formula>
    </cfRule>
  </conditionalFormatting>
  <conditionalFormatting sqref="B9">
    <cfRule type="cellIs" priority="179" operator="lessThan" aboveAverage="0" equalAverage="0" bottom="0" percent="0" rank="0" text="" dxfId="0">
      <formula>$C$9</formula>
    </cfRule>
  </conditionalFormatting>
  <conditionalFormatting sqref="C8">
    <cfRule type="cellIs" priority="180" operator="lessThan" aboveAverage="0" equalAverage="0" bottom="0" percent="0" rank="0" text="" dxfId="0">
      <formula>$B$8</formula>
    </cfRule>
  </conditionalFormatting>
  <conditionalFormatting sqref="B8">
    <cfRule type="cellIs" priority="181" operator="lessThan" aboveAverage="0" equalAverage="0" bottom="0" percent="0" rank="0" text="" dxfId="0">
      <formula>$C$8</formula>
    </cfRule>
  </conditionalFormatting>
  <conditionalFormatting sqref="C7">
    <cfRule type="cellIs" priority="182" operator="lessThan" aboveAverage="0" equalAverage="0" bottom="0" percent="0" rank="0" text="" dxfId="0">
      <formula>$B$7</formula>
    </cfRule>
  </conditionalFormatting>
  <conditionalFormatting sqref="B7">
    <cfRule type="cellIs" priority="183" operator="lessThan" aboveAverage="0" equalAverage="0" bottom="0" percent="0" rank="0" text="" dxfId="0">
      <formula>$C$7</formula>
    </cfRule>
  </conditionalFormatting>
  <conditionalFormatting sqref="C6">
    <cfRule type="cellIs" priority="184" operator="lessThan" aboveAverage="0" equalAverage="0" bottom="0" percent="0" rank="0" text="" dxfId="0">
      <formula>$B$6</formula>
    </cfRule>
  </conditionalFormatting>
  <conditionalFormatting sqref="B6">
    <cfRule type="cellIs" priority="185" operator="lessThan" aboveAverage="0" equalAverage="0" bottom="0" percent="0" rank="0" text="" dxfId="0">
      <formula>$C$6</formula>
    </cfRule>
  </conditionalFormatting>
  <conditionalFormatting sqref="C5">
    <cfRule type="cellIs" priority="186" operator="lessThan" aboveAverage="0" equalAverage="0" bottom="0" percent="0" rank="0" text="" dxfId="0">
      <formula>$B$5</formula>
    </cfRule>
  </conditionalFormatting>
  <conditionalFormatting sqref="B5">
    <cfRule type="cellIs" priority="187" operator="lessThan" aboveAverage="0" equalAverage="0" bottom="0" percent="0" rank="0" text="" dxfId="0">
      <formula>$C$5</formula>
    </cfRule>
  </conditionalFormatting>
  <conditionalFormatting sqref="C4">
    <cfRule type="cellIs" priority="188" operator="lessThan" aboveAverage="0" equalAverage="0" bottom="0" percent="0" rank="0" text="" dxfId="0">
      <formula>$B$4</formula>
    </cfRule>
  </conditionalFormatting>
  <conditionalFormatting sqref="B4">
    <cfRule type="cellIs" priority="189" operator="lessThan" aboveAverage="0" equalAverage="0" bottom="0" percent="0" rank="0" text="" dxfId="0">
      <formula>$C$4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0.6796875" defaultRowHeight="15" customHeight="false" zeroHeight="false" outlineLevelRow="0" outlineLevelCol="0"/>
  <sheetData>
    <row r="1" customFormat="false" ht="15" hidden="false" customHeight="true" outlineLevel="0" collapsed="false">
      <c r="A1" s="1"/>
      <c r="B1" s="2">
        <f aca="false">AVERAGE(B4:B38)</f>
      </c>
      <c r="C1" s="2">
        <f aca="false">AVERAGE(C4:C30)</f>
      </c>
      <c r="D1" s="2">
        <f aca="false">AVERAGE(D4:D60)</f>
      </c>
      <c r="E1" s="2">
        <f aca="false">AVERAGE(E4:E60)</f>
      </c>
      <c r="F1" s="1">
        <f aca="false">SUM(F4:F50)</f>
      </c>
      <c r="G1" s="1">
        <f aca="false">D1-E1</f>
      </c>
    </row>
    <row r="2" customFormat="false" ht="1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5" t="s">
        <v>8</v>
      </c>
      <c r="J2" s="5"/>
      <c r="K2" s="5"/>
      <c r="L2" s="5"/>
      <c r="M2" s="5"/>
      <c r="N2" s="5" t="s">
        <v>6</v>
      </c>
      <c r="O2" s="5"/>
      <c r="P2" s="5"/>
      <c r="Q2" s="5"/>
      <c r="R2" s="5"/>
    </row>
    <row r="3" customFormat="false" ht="15" hidden="false" customHeight="true" outlineLevel="0" collapsed="false">
      <c r="G3" s="2">
        <f aca="false">Q3/R3</f>
      </c>
      <c r="H3" s="2">
        <f aca="false">L3/M3</f>
      </c>
      <c r="I3" s="5">
        <f aca="false">SUM(I4:I50)</f>
      </c>
      <c r="J3" s="5">
        <f aca="false">SUM(J4:J50)</f>
      </c>
      <c r="K3" s="5">
        <f aca="false">SUM(K4:K50)</f>
      </c>
      <c r="L3" s="5">
        <f aca="false">SUM(L4:L50)</f>
      </c>
      <c r="M3" s="5">
        <f aca="false">SUM(M4:M50)</f>
      </c>
      <c r="N3" s="5">
        <f aca="false">SUM(N4:N50)</f>
      </c>
      <c r="O3" s="5">
        <f aca="false">SUM(O4:O50)</f>
      </c>
      <c r="P3" s="5">
        <f aca="false">SUM(P4:P50)</f>
      </c>
      <c r="Q3" s="5">
        <f aca="false">SUM(Q4:Q50)</f>
      </c>
      <c r="R3" s="5">
        <f aca="false">SUM(R4:R50)</f>
      </c>
    </row>
    <row r="4" customFormat="false" ht="15" hidden="false" customHeight="true" outlineLevel="0" collapsed="false">
      <c r="A4" t="inlineStr">
        <is>
          <t>Oignon rge 60/80 5K c1 FR</t>
        </is>
      </c>
      <c r="C4" t="n">
        <v>1.39</v>
      </c>
      <c r="F4" t="n">
        <v>5</v>
      </c>
      <c r="G4" s="1">
        <f aca="false">Q4/R4</f>
      </c>
      <c r="H4" s="1">
        <f aca="false">L4/M4</f>
      </c>
      <c r="I4" s="3">
        <f aca="false">E4/1.055</f>
      </c>
      <c r="J4" s="3">
        <f aca="false">I4-C4</f>
      </c>
      <c r="K4" s="3">
        <f aca="false">J4*F4</f>
      </c>
      <c r="L4" s="3">
        <f aca="false">K4*100</f>
      </c>
      <c r="M4" s="3">
        <f aca="false">E4*F4</f>
      </c>
      <c r="N4" s="3">
        <f aca="false">D4/1.055</f>
      </c>
      <c r="O4" s="3">
        <f aca="false">N4-B4</f>
      </c>
      <c r="P4" s="3">
        <f aca="false">O4*F4</f>
      </c>
      <c r="Q4" s="3">
        <f aca="false">P4*100</f>
      </c>
      <c r="R4" s="3">
        <f aca="false">D4*F4</f>
      </c>
    </row>
    <row r="5" customFormat="false" ht="15" hidden="false" customHeight="true" outlineLevel="0" collapsed="false">
      <c r="A5" t="inlineStr">
        <is>
          <t>Poivron rouge 80/100 5K c1 MA</t>
        </is>
      </c>
      <c r="C5" t="n">
        <v>2.7</v>
      </c>
      <c r="F5" t="n">
        <v>5</v>
      </c>
      <c r="G5" s="1">
        <f aca="false">Q5/R5</f>
      </c>
      <c r="H5" s="1">
        <f aca="false">L5/M5</f>
      </c>
      <c r="I5" s="3">
        <f aca="false">E5/1.055</f>
      </c>
      <c r="J5" s="3">
        <f aca="false">I5-C5</f>
      </c>
      <c r="K5" s="3">
        <f aca="false">J5*F5</f>
      </c>
      <c r="L5" s="3">
        <f aca="false">K5*100</f>
      </c>
      <c r="M5" s="3">
        <f aca="false">E5*F5</f>
      </c>
      <c r="N5" s="3">
        <f aca="false">D5/1.055</f>
      </c>
      <c r="O5" s="3">
        <f aca="false">N5-B5</f>
      </c>
      <c r="P5" s="3">
        <f aca="false">O5*F5</f>
      </c>
      <c r="Q5" s="3">
        <f aca="false">P5*100</f>
      </c>
      <c r="R5" s="3">
        <f aca="false">D5*F5</f>
      </c>
    </row>
    <row r="6" customFormat="false" ht="15" hidden="false" customHeight="true" outlineLevel="0" collapsed="false">
      <c r="A6" t="inlineStr">
        <is>
          <t>Tom cotelee rge 3,5K c2 FR</t>
        </is>
      </c>
      <c r="C6" t="n">
        <v>4.5</v>
      </c>
      <c r="F6" t="n">
        <v>28</v>
      </c>
      <c r="G6" s="1">
        <f aca="false">Q6/R6</f>
      </c>
      <c r="H6" s="1">
        <f aca="false">L6/M6</f>
      </c>
      <c r="I6" s="3">
        <f aca="false">E6/1.055</f>
      </c>
      <c r="J6" s="3">
        <f aca="false">I6-C6</f>
      </c>
      <c r="K6" s="3">
        <f aca="false">J6*F6</f>
      </c>
      <c r="L6" s="3">
        <f aca="false">K6*100</f>
      </c>
      <c r="M6" s="3">
        <f aca="false">E6*F6</f>
      </c>
      <c r="N6" s="3">
        <f aca="false">D6/1.055</f>
      </c>
      <c r="O6" s="3">
        <f aca="false">N6-B6</f>
      </c>
      <c r="P6" s="3">
        <f aca="false">O6*F6</f>
      </c>
      <c r="Q6" s="3">
        <f aca="false">P6*100</f>
      </c>
      <c r="R6" s="3">
        <f aca="false">D6*F6</f>
      </c>
    </row>
    <row r="7" customFormat="false" ht="15" hidden="false" customHeight="true" outlineLevel="0" collapsed="false">
      <c r="A7" t="inlineStr">
        <is>
          <t>Sal coeur sucrine flow 3PX12 c1 ES</t>
        </is>
      </c>
      <c r="C7" t="n">
        <v>1.8</v>
      </c>
      <c r="F7" t="n">
        <v>72</v>
      </c>
      <c r="G7" s="1">
        <f aca="false">Q7/R7</f>
      </c>
      <c r="H7" s="1">
        <f aca="false">L7/M7</f>
      </c>
      <c r="I7" s="3">
        <f aca="false">E7/1.055</f>
      </c>
      <c r="J7" s="3">
        <f aca="false">I7-C7</f>
      </c>
      <c r="K7" s="3">
        <f aca="false">J7*F7</f>
      </c>
      <c r="L7" s="3">
        <f aca="false">K7*100</f>
      </c>
      <c r="M7" s="3">
        <f aca="false">E7*F7</f>
      </c>
      <c r="N7" s="3">
        <f aca="false">D7/1.055</f>
      </c>
      <c r="O7" s="3">
        <f aca="false">N7-B7</f>
      </c>
      <c r="P7" s="3">
        <f aca="false">O7*F7</f>
      </c>
      <c r="Q7" s="3">
        <f aca="false">P7*100</f>
      </c>
      <c r="R7" s="3">
        <f aca="false">D7*F7</f>
      </c>
    </row>
    <row r="8" customFormat="false" ht="15" hidden="false" customHeight="true" outlineLevel="0" collapsed="false">
      <c r="A8" t="inlineStr">
        <is>
          <t>Sal feuille chene bld 6P c1 SLC1</t>
        </is>
      </c>
      <c r="C8" t="n">
        <v>1.4</v>
      </c>
      <c r="F8" t="n">
        <v>24</v>
      </c>
      <c r="G8" s="1">
        <f aca="false">Q8/R8</f>
      </c>
      <c r="H8" s="1">
        <f aca="false">L8/M8</f>
      </c>
      <c r="I8" s="3">
        <f aca="false">E8/1.055</f>
      </c>
      <c r="J8" s="3">
        <f aca="false">I8-C8</f>
      </c>
      <c r="K8" s="3">
        <f aca="false">J8*F8</f>
      </c>
      <c r="L8" s="3">
        <f aca="false">K8*100</f>
      </c>
      <c r="M8" s="3">
        <f aca="false">E8*F8</f>
      </c>
      <c r="N8" s="3">
        <f aca="false">D8/1.055</f>
      </c>
      <c r="O8" s="3">
        <f aca="false">N8-B8</f>
      </c>
      <c r="P8" s="3">
        <f aca="false">O8*F8</f>
      </c>
      <c r="Q8" s="3">
        <f aca="false">P8*100</f>
      </c>
      <c r="R8" s="3">
        <f aca="false">D8*F8</f>
      </c>
    </row>
    <row r="9" customFormat="false" ht="15" hidden="false" customHeight="true" outlineLevel="0" collapsed="false">
      <c r="A9" t="inlineStr">
        <is>
          <t>Pom pinklady 170/200 1r60X40 ~8K c1 CL</t>
        </is>
      </c>
      <c r="C9" t="n">
        <v>2.75</v>
      </c>
      <c r="F9" t="n">
        <v>6.738</v>
      </c>
      <c r="G9" s="1">
        <f aca="false">Q9/R9</f>
      </c>
      <c r="H9" s="1">
        <f aca="false">L9/M9</f>
      </c>
      <c r="I9" s="3">
        <f aca="false">E9/1.055</f>
      </c>
      <c r="J9" s="3">
        <f aca="false">I9-C9</f>
      </c>
      <c r="K9" s="3">
        <f aca="false">J9*F9</f>
      </c>
      <c r="L9" s="3">
        <f aca="false">K9*100</f>
      </c>
      <c r="M9" s="3">
        <f aca="false">E9*F9</f>
      </c>
      <c r="N9" s="3">
        <f aca="false">D9/1.055</f>
      </c>
      <c r="O9" s="3">
        <f aca="false">N9-B9</f>
      </c>
      <c r="P9" s="3">
        <f aca="false">O9*F9</f>
      </c>
      <c r="Q9" s="3">
        <f aca="false">P9*100</f>
      </c>
      <c r="R9" s="3">
        <f aca="false">D9*F9</f>
      </c>
    </row>
    <row r="10" customFormat="false" ht="15" hidden="false" customHeight="true" outlineLevel="0" collapsed="false">
      <c r="A10" t="inlineStr">
        <is>
          <t>Concombre 300/400 12P c1 FR</t>
        </is>
      </c>
      <c r="C10" t="n">
        <v>0.95</v>
      </c>
      <c r="F10" t="n">
        <v>96</v>
      </c>
      <c r="G10" s="1">
        <f aca="false">Q10/R10</f>
      </c>
      <c r="H10" s="1">
        <f aca="false">L10/M10</f>
      </c>
      <c r="I10" s="3">
        <f aca="false">E10/1.055</f>
      </c>
      <c r="J10" s="3">
        <f aca="false">I10-C10</f>
      </c>
      <c r="K10" s="3">
        <f aca="false">J10*F10</f>
      </c>
      <c r="L10" s="3">
        <f aca="false">K10*100</f>
      </c>
      <c r="M10" s="3">
        <f aca="false">E10*F10</f>
      </c>
      <c r="N10" s="3">
        <f aca="false">D10/1.055</f>
      </c>
      <c r="O10" s="3">
        <f aca="false">N10-B10</f>
      </c>
      <c r="P10" s="3">
        <f aca="false">O10*F10</f>
      </c>
      <c r="Q10" s="3">
        <f aca="false">P10*100</f>
      </c>
      <c r="R10" s="3">
        <f aca="false">D10*F10</f>
      </c>
    </row>
    <row r="11" customFormat="false" ht="15" hidden="false" customHeight="true" outlineLevel="0" collapsed="false">
      <c r="A11" t="inlineStr">
        <is>
          <t>Tom cotelee nr 3,5K c2 FR</t>
        </is>
      </c>
      <c r="C11" t="n">
        <v>4.6</v>
      </c>
      <c r="F11" t="n">
        <v>28</v>
      </c>
      <c r="G11" s="1">
        <f aca="false">Q11/R11</f>
      </c>
      <c r="H11" s="1">
        <f aca="false">L11/M11</f>
      </c>
      <c r="I11" s="3">
        <f aca="false">E11/1.055</f>
      </c>
      <c r="J11" s="3">
        <f aca="false">I11-C11</f>
      </c>
      <c r="K11" s="3">
        <f aca="false">J11*F11</f>
      </c>
      <c r="L11" s="3">
        <f aca="false">K11*100</f>
      </c>
      <c r="M11" s="3">
        <f aca="false">E11*F11</f>
      </c>
      <c r="N11" s="3">
        <f aca="false">D11/1.055</f>
      </c>
      <c r="O11" s="3">
        <f aca="false">N11-B11</f>
      </c>
      <c r="P11" s="3">
        <f aca="false">O11*F11</f>
      </c>
      <c r="Q11" s="3">
        <f aca="false">P11*100</f>
      </c>
      <c r="R11" s="3">
        <f aca="false">D11*F11</f>
      </c>
    </row>
    <row r="12" customFormat="false" ht="15" hidden="false" customHeight="true" outlineLevel="0" collapsed="false">
      <c r="A12" t="inlineStr">
        <is>
          <t>Peche bl A 67/73mm CE2 ~7K B&amp;E c1 SLC</t>
        </is>
      </c>
      <c r="C12" t="n">
        <v>2.49</v>
      </c>
      <c r="F12" t="n">
        <v>13.3</v>
      </c>
      <c r="G12" s="1">
        <f aca="false">Q12/R12</f>
      </c>
      <c r="H12" s="1">
        <f aca="false">L12/M12</f>
      </c>
      <c r="I12" s="3">
        <f aca="false">E12/1.055</f>
      </c>
      <c r="J12" s="3">
        <f aca="false">I12-C12</f>
      </c>
      <c r="K12" s="3">
        <f aca="false">J12*F12</f>
      </c>
      <c r="L12" s="3">
        <f aca="false">K12*100</f>
      </c>
      <c r="M12" s="3">
        <f aca="false">E12*F12</f>
      </c>
      <c r="N12" s="3">
        <f aca="false">D12/1.055</f>
      </c>
      <c r="O12" s="3">
        <f aca="false">N12-B12</f>
      </c>
      <c r="P12" s="3">
        <f aca="false">O12*F12</f>
      </c>
      <c r="Q12" s="3">
        <f aca="false">P12*100</f>
      </c>
      <c r="R12" s="3">
        <f aca="false">D12*F12</f>
      </c>
    </row>
    <row r="13" customFormat="false" ht="15" hidden="false" customHeight="true" outlineLevel="0" collapsed="false">
      <c r="A13" t="inlineStr">
        <is>
          <t>Sal batavia blonde 12P c1 SLC1</t>
        </is>
      </c>
      <c r="C13" t="n">
        <v>1.4</v>
      </c>
      <c r="F13" t="n">
        <v>72</v>
      </c>
      <c r="G13" s="1">
        <f aca="false">Q13/R13</f>
      </c>
      <c r="H13" s="1">
        <f aca="false">L13/M13</f>
      </c>
      <c r="I13" s="3">
        <f aca="false">E13/1.055</f>
      </c>
      <c r="J13" s="3">
        <f aca="false">I13-C13</f>
      </c>
      <c r="K13" s="3">
        <f aca="false">J13*F13</f>
      </c>
      <c r="L13" s="3">
        <f aca="false">K13*100</f>
      </c>
      <c r="M13" s="3">
        <f aca="false">E13*F13</f>
      </c>
      <c r="N13" s="3">
        <f aca="false">D13/1.055</f>
      </c>
      <c r="O13" s="3">
        <f aca="false">N13-B13</f>
      </c>
      <c r="P13" s="3">
        <f aca="false">O13*F13</f>
      </c>
      <c r="Q13" s="3">
        <f aca="false">P13*100</f>
      </c>
      <c r="R13" s="3">
        <f aca="false">D13*F13</f>
      </c>
    </row>
    <row r="14" customFormat="false" ht="15" hidden="false" customHeight="true" outlineLevel="0" collapsed="false">
      <c r="A14" t="inlineStr">
        <is>
          <t>Sal laitue blonde 6P c1 SLC1</t>
        </is>
      </c>
      <c r="C14" t="n">
        <v>1.4</v>
      </c>
      <c r="F14" t="n">
        <v>12</v>
      </c>
      <c r="G14" s="1">
        <f aca="false">Q14/R14</f>
      </c>
      <c r="H14" s="1">
        <f aca="false">L14/M14</f>
      </c>
      <c r="I14" s="3">
        <f aca="false">E14/1.055</f>
      </c>
      <c r="J14" s="3">
        <f aca="false">I14-C14</f>
      </c>
      <c r="K14" s="3">
        <f aca="false">J14*F14</f>
      </c>
      <c r="L14" s="3">
        <f aca="false">K14*100</f>
      </c>
      <c r="M14" s="3">
        <f aca="false">E14*F14</f>
      </c>
      <c r="N14" s="3">
        <f aca="false">D14/1.055</f>
      </c>
      <c r="O14" s="3">
        <f aca="false">N14-B14</f>
      </c>
      <c r="P14" s="3">
        <f aca="false">O14*F14</f>
      </c>
      <c r="Q14" s="3">
        <f aca="false">P14*100</f>
      </c>
      <c r="R14" s="3">
        <f aca="false">D14*F14</f>
      </c>
    </row>
    <row r="15" customFormat="false" ht="15" hidden="false" customHeight="true" outlineLevel="0" collapsed="false">
      <c r="A15" t="inlineStr">
        <is>
          <t>Peche jne 2A 73/80mm ~4K c1 SLC</t>
        </is>
      </c>
      <c r="C15" t="n">
        <v>2.49</v>
      </c>
      <c r="F15" t="n">
        <v>21.655</v>
      </c>
      <c r="G15" s="1">
        <f aca="false">Q15/R15</f>
      </c>
      <c r="H15" s="1">
        <f aca="false">L15/M15</f>
      </c>
      <c r="I15" s="3">
        <f aca="false">E15/1.055</f>
      </c>
      <c r="J15" s="3">
        <f aca="false">I15-C15</f>
      </c>
      <c r="K15" s="3">
        <f aca="false">J15*F15</f>
      </c>
      <c r="L15" s="3">
        <f aca="false">K15*100</f>
      </c>
      <c r="M15" s="3">
        <f aca="false">E15*F15</f>
      </c>
      <c r="N15" s="3">
        <f aca="false">D15/1.055</f>
      </c>
      <c r="O15" s="3">
        <f aca="false">N15-B15</f>
      </c>
      <c r="P15" s="3">
        <f aca="false">O15*F15</f>
      </c>
      <c r="Q15" s="3">
        <f aca="false">P15*100</f>
      </c>
      <c r="R15" s="3">
        <f aca="false">D15*F15</f>
      </c>
    </row>
    <row r="16" customFormat="false" ht="15" hidden="false" customHeight="true" outlineLevel="0" collapsed="false">
      <c r="G16" s="1">
        <f aca="false">Q16/R16</f>
      </c>
      <c r="H16" s="1">
        <f aca="false">L16/M16</f>
      </c>
      <c r="I16" s="3">
        <f aca="false">E16/1.055</f>
      </c>
      <c r="J16" s="3">
        <f aca="false">I16-C16</f>
      </c>
      <c r="K16" s="3">
        <f aca="false">J16*F16</f>
      </c>
      <c r="L16" s="3">
        <f aca="false">K16*100</f>
      </c>
      <c r="M16" s="3">
        <f aca="false">E16*F16</f>
      </c>
      <c r="N16" s="3">
        <f aca="false">D16/1.055</f>
      </c>
      <c r="O16" s="3">
        <f aca="false">N16-B16</f>
      </c>
      <c r="P16" s="3">
        <f aca="false">O16*F16</f>
      </c>
      <c r="Q16" s="3">
        <f aca="false">P16*100</f>
      </c>
      <c r="R16" s="3">
        <f aca="false">D16*F16</f>
      </c>
    </row>
    <row r="17" customFormat="false" ht="15" hidden="false" customHeight="true" outlineLevel="0" collapsed="false">
      <c r="G17" s="1">
        <f aca="false">Q17/R17</f>
      </c>
      <c r="H17" s="1">
        <f aca="false">L17/M17</f>
      </c>
      <c r="I17" s="3">
        <f aca="false">E17/1.055</f>
      </c>
      <c r="J17" s="3">
        <f aca="false">I17-C17</f>
      </c>
      <c r="K17" s="3">
        <f aca="false">J17*F17</f>
      </c>
      <c r="L17" s="3">
        <f aca="false">K17*100</f>
      </c>
      <c r="M17" s="3">
        <f aca="false">E17*F17</f>
      </c>
      <c r="N17" s="3">
        <f aca="false">D17/1.055</f>
      </c>
      <c r="O17" s="3">
        <f aca="false">N17-B17</f>
      </c>
      <c r="P17" s="3">
        <f aca="false">O17*F17</f>
      </c>
      <c r="Q17" s="3">
        <f aca="false">P17*100</f>
      </c>
      <c r="R17" s="3">
        <f aca="false">D17*F17</f>
      </c>
    </row>
    <row r="18" customFormat="false" ht="15" hidden="false" customHeight="true" outlineLevel="0" collapsed="false">
      <c r="G18" s="1">
        <f aca="false">Q18/R18</f>
      </c>
      <c r="H18" s="1">
        <f aca="false">L18/M18</f>
      </c>
      <c r="I18" s="3">
        <f aca="false">E18/1.055</f>
      </c>
      <c r="J18" s="3">
        <f aca="false">I18-C18</f>
      </c>
      <c r="K18" s="3">
        <f aca="false">J18*F18</f>
      </c>
      <c r="L18" s="3">
        <f aca="false">K18*100</f>
      </c>
      <c r="M18" s="3">
        <f aca="false">E18*F18</f>
      </c>
      <c r="N18" s="3">
        <f aca="false">D18/1.055</f>
      </c>
      <c r="O18" s="3">
        <f aca="false">N18-B18</f>
      </c>
      <c r="P18" s="3">
        <f aca="false">O18*F18</f>
      </c>
      <c r="Q18" s="3">
        <f aca="false">P18*100</f>
      </c>
      <c r="R18" s="3">
        <f aca="false">D18*F18</f>
      </c>
    </row>
    <row r="19" customFormat="false" ht="15" hidden="false" customHeight="true" outlineLevel="0" collapsed="false">
      <c r="G19" s="1">
        <f aca="false">Q19/R19</f>
      </c>
      <c r="H19" s="1">
        <f aca="false">L19/M19</f>
      </c>
      <c r="I19" s="3">
        <f aca="false">E19/1.055</f>
      </c>
      <c r="J19" s="3">
        <f aca="false">I19-C19</f>
      </c>
      <c r="K19" s="3">
        <f aca="false">J19*F19</f>
      </c>
      <c r="L19" s="3">
        <f aca="false">K19*100</f>
      </c>
      <c r="M19" s="3">
        <f aca="false">E19*F19</f>
      </c>
      <c r="N19" s="3">
        <f aca="false">D19/1.055</f>
      </c>
      <c r="O19" s="3">
        <f aca="false">N19-B19</f>
      </c>
      <c r="P19" s="3">
        <f aca="false">O19*F19</f>
      </c>
      <c r="Q19" s="3">
        <f aca="false">P19*100</f>
      </c>
      <c r="R19" s="3">
        <f aca="false">D19*F19</f>
      </c>
    </row>
    <row r="20" customFormat="false" ht="15" hidden="false" customHeight="true" outlineLevel="0" collapsed="false">
      <c r="G20" s="1">
        <f aca="false">Q20/R20</f>
      </c>
      <c r="H20" s="1">
        <f aca="false">L20/M20</f>
      </c>
      <c r="I20" s="3">
        <f aca="false">E20/1.055</f>
      </c>
      <c r="J20" s="3">
        <f aca="false">I20-C20</f>
      </c>
      <c r="K20" s="3">
        <f aca="false">J20*F20</f>
      </c>
      <c r="L20" s="3">
        <f aca="false">K20*100</f>
      </c>
      <c r="M20" s="3">
        <f aca="false">E20*F20</f>
      </c>
      <c r="N20" s="3">
        <f aca="false">D20/1.055</f>
      </c>
      <c r="O20" s="3">
        <f aca="false">N20-B20</f>
      </c>
      <c r="P20" s="3">
        <f aca="false">O20*F20</f>
      </c>
      <c r="Q20" s="3">
        <f aca="false">P20*100</f>
      </c>
      <c r="R20" s="3">
        <f aca="false">D20*F20</f>
      </c>
    </row>
    <row r="21" customFormat="false" ht="15" hidden="false" customHeight="true" outlineLevel="0" collapsed="false">
      <c r="G21" s="1">
        <f aca="false">Q21/R21</f>
      </c>
      <c r="H21" s="1">
        <f aca="false">L21/M21</f>
      </c>
      <c r="I21" s="3">
        <f aca="false">E21/1.055</f>
      </c>
      <c r="J21" s="3">
        <f aca="false">I21-C21</f>
      </c>
      <c r="K21" s="3">
        <f aca="false">J21*F21</f>
      </c>
      <c r="L21" s="3">
        <f aca="false">K21*100</f>
      </c>
      <c r="M21" s="3">
        <f aca="false">E21*F21</f>
      </c>
      <c r="N21" s="3">
        <f aca="false">D21/1.055</f>
      </c>
      <c r="O21" s="3">
        <f aca="false">N21-B21</f>
      </c>
      <c r="P21" s="3">
        <f aca="false">O21*F21</f>
      </c>
      <c r="Q21" s="3">
        <f aca="false">P21*100</f>
      </c>
      <c r="R21" s="3">
        <f aca="false">D21*F21</f>
      </c>
    </row>
    <row r="22" customFormat="false" ht="15" hidden="false" customHeight="true" outlineLevel="0" collapsed="false">
      <c r="G22" s="1">
        <f aca="false">Q22/R22</f>
      </c>
      <c r="H22" s="1">
        <f aca="false">L22/M22</f>
      </c>
      <c r="I22" s="3">
        <f aca="false">E22/1.055</f>
      </c>
      <c r="J22" s="3">
        <f aca="false">I22-C22</f>
      </c>
      <c r="K22" s="3">
        <f aca="false">J22*F22</f>
      </c>
      <c r="L22" s="3">
        <f aca="false">K22*100</f>
      </c>
      <c r="M22" s="3">
        <f aca="false">E22*F22</f>
      </c>
      <c r="N22" s="3">
        <f aca="false">D22/1.055</f>
      </c>
      <c r="O22" s="3">
        <f aca="false">N22-B22</f>
      </c>
      <c r="P22" s="3">
        <f aca="false">O22*F22</f>
      </c>
      <c r="Q22" s="3">
        <f aca="false">P22*100</f>
      </c>
      <c r="R22" s="3">
        <f aca="false">D22*F22</f>
      </c>
    </row>
    <row r="23" customFormat="false" ht="15" hidden="false" customHeight="true" outlineLevel="0" collapsed="false">
      <c r="G23" s="1">
        <f aca="false">Q23/R23</f>
      </c>
      <c r="H23" s="1">
        <f aca="false">L23/M23</f>
      </c>
      <c r="I23" s="3">
        <f aca="false">E23/1.055</f>
      </c>
      <c r="J23" s="3">
        <f aca="false">I23-C23</f>
      </c>
      <c r="K23" s="3">
        <f aca="false">J23*F23</f>
      </c>
      <c r="L23" s="3">
        <f aca="false">K23*100</f>
      </c>
      <c r="M23" s="3">
        <f aca="false">E23*F23</f>
      </c>
      <c r="N23" s="3">
        <f aca="false">D23/1.055</f>
      </c>
      <c r="O23" s="3">
        <f aca="false">N23-B23</f>
      </c>
      <c r="P23" s="3">
        <f aca="false">O23*F23</f>
      </c>
      <c r="Q23" s="3">
        <f aca="false">P23*100</f>
      </c>
      <c r="R23" s="3">
        <f aca="false">D23*F23</f>
      </c>
    </row>
    <row r="24" customFormat="false" ht="15" hidden="false" customHeight="true" outlineLevel="0" collapsed="false">
      <c r="G24" s="1">
        <f aca="false">Q24/R24</f>
      </c>
      <c r="H24" s="1">
        <f aca="false">L24/M24</f>
      </c>
      <c r="I24" s="3">
        <f aca="false">E24/1.055</f>
      </c>
      <c r="J24" s="3">
        <f aca="false">I24-C24</f>
      </c>
      <c r="K24" s="3">
        <f aca="false">J24*F24</f>
      </c>
      <c r="L24" s="3">
        <f aca="false">K24*100</f>
      </c>
      <c r="M24" s="3">
        <f aca="false">E24*F24</f>
      </c>
      <c r="N24" s="3">
        <f aca="false">D24/1.055</f>
      </c>
      <c r="O24" s="3">
        <f aca="false">N24-B24</f>
      </c>
      <c r="P24" s="3">
        <f aca="false">O24*F24</f>
      </c>
      <c r="Q24" s="3">
        <f aca="false">P24*100</f>
      </c>
      <c r="R24" s="3">
        <f aca="false">D24*F24</f>
      </c>
    </row>
    <row r="25" customFormat="false" ht="15" hidden="false" customHeight="true" outlineLevel="0" collapsed="false">
      <c r="G25" s="1">
        <f aca="false">Q25/R25</f>
      </c>
      <c r="H25" s="1">
        <f aca="false">L25/M25</f>
      </c>
      <c r="I25" s="3">
        <f aca="false">E25/1.055</f>
      </c>
      <c r="J25" s="3">
        <f aca="false">I25-C25</f>
      </c>
      <c r="K25" s="3">
        <f aca="false">J25*F25</f>
      </c>
      <c r="L25" s="3">
        <f aca="false">K25*100</f>
      </c>
      <c r="M25" s="3">
        <f aca="false">E25*F25</f>
      </c>
      <c r="N25" s="3">
        <f aca="false">D25/1.055</f>
      </c>
      <c r="O25" s="3">
        <f aca="false">N25-B25</f>
      </c>
      <c r="P25" s="3">
        <f aca="false">O25*F25</f>
      </c>
      <c r="Q25" s="3">
        <f aca="false">P25*100</f>
      </c>
      <c r="R25" s="3">
        <f aca="false">D25*F25</f>
      </c>
    </row>
    <row r="26" customFormat="false" ht="15" hidden="false" customHeight="true" outlineLevel="0" collapsed="false">
      <c r="G26" s="1">
        <f aca="false">Q26/R26</f>
      </c>
      <c r="H26" s="1">
        <f aca="false">L26/M26</f>
      </c>
      <c r="I26" s="3">
        <f aca="false">E26/1.055</f>
      </c>
      <c r="J26" s="3">
        <f aca="false">I26-C26</f>
      </c>
      <c r="K26" s="3">
        <f aca="false">J26*F26</f>
      </c>
      <c r="L26" s="3">
        <f aca="false">K26*100</f>
      </c>
      <c r="M26" s="3">
        <f aca="false">E26*F26</f>
      </c>
      <c r="N26" s="3">
        <f aca="false">D26/1.055</f>
      </c>
      <c r="O26" s="3">
        <f aca="false">N26-B26</f>
      </c>
      <c r="P26" s="3">
        <f aca="false">O26*F26</f>
      </c>
      <c r="Q26" s="3">
        <f aca="false">P26*100</f>
      </c>
      <c r="R26" s="3">
        <f aca="false">D26*F26</f>
      </c>
    </row>
    <row r="27" customFormat="false" ht="15" hidden="false" customHeight="true" outlineLevel="0" collapsed="false">
      <c r="G27" s="1">
        <f aca="false">Q27/R27</f>
      </c>
      <c r="H27" s="1">
        <f aca="false">L27/M27</f>
      </c>
      <c r="I27" s="3">
        <f aca="false">E27/1.055</f>
      </c>
      <c r="J27" s="3">
        <f aca="false">I27-C27</f>
      </c>
      <c r="K27" s="3">
        <f aca="false">J27*F27</f>
      </c>
      <c r="L27" s="3">
        <f aca="false">K27*100</f>
      </c>
      <c r="M27" s="3">
        <f aca="false">E27*F27</f>
      </c>
      <c r="N27" s="3">
        <f aca="false">D27/1.055</f>
      </c>
      <c r="O27" s="3">
        <f aca="false">N27-B27</f>
      </c>
      <c r="P27" s="3">
        <f aca="false">O27*F27</f>
      </c>
      <c r="Q27" s="3">
        <f aca="false">P27*100</f>
      </c>
      <c r="R27" s="3">
        <f aca="false">D27*F27</f>
      </c>
    </row>
    <row r="28" customFormat="false" ht="15" hidden="false" customHeight="true" outlineLevel="0" collapsed="false">
      <c r="G28" s="1">
        <f aca="false">Q28/R28</f>
      </c>
      <c r="H28" s="1">
        <f aca="false">L28/M28</f>
      </c>
      <c r="I28" s="3">
        <f aca="false">E28/1.055</f>
      </c>
      <c r="J28" s="3">
        <f aca="false">I28-C28</f>
      </c>
      <c r="K28" s="3">
        <f aca="false">J28*F28</f>
      </c>
      <c r="L28" s="3">
        <f aca="false">K28*100</f>
      </c>
      <c r="M28" s="3">
        <f aca="false">E28*F28</f>
      </c>
      <c r="N28" s="3">
        <f aca="false">D28/1.055</f>
      </c>
      <c r="O28" s="3">
        <f aca="false">N28-B28</f>
      </c>
      <c r="P28" s="3">
        <f aca="false">O28*F28</f>
      </c>
      <c r="Q28" s="3">
        <f aca="false">P28*100</f>
      </c>
      <c r="R28" s="3">
        <f aca="false">D28*F28</f>
      </c>
    </row>
    <row r="29" customFormat="false" ht="15" hidden="false" customHeight="true" outlineLevel="0" collapsed="false">
      <c r="G29" s="1">
        <f aca="false">Q29/R29</f>
      </c>
      <c r="H29" s="1">
        <f aca="false">L29/M29</f>
      </c>
      <c r="I29" s="3">
        <f aca="false">E29/1.055</f>
      </c>
      <c r="J29" s="3">
        <f aca="false">I29-C29</f>
      </c>
      <c r="K29" s="3">
        <f aca="false">J29*F29</f>
      </c>
      <c r="L29" s="3">
        <f aca="false">K29*100</f>
      </c>
      <c r="M29" s="3">
        <f aca="false">E29*F29</f>
      </c>
      <c r="N29" s="3">
        <f aca="false">D29/1.055</f>
      </c>
      <c r="O29" s="3">
        <f aca="false">N29-B29</f>
      </c>
      <c r="P29" s="3">
        <f aca="false">O29*F29</f>
      </c>
      <c r="Q29" s="3">
        <f aca="false">P29*100</f>
      </c>
      <c r="R29" s="3">
        <f aca="false">D29*F29</f>
      </c>
    </row>
    <row r="30" customFormat="false" ht="15" hidden="false" customHeight="true" outlineLevel="0" collapsed="false">
      <c r="G30" s="1">
        <f aca="false">Q30/R30</f>
      </c>
      <c r="H30" s="1">
        <f aca="false">L30/M30</f>
      </c>
      <c r="I30" s="3">
        <f aca="false">E30/1.055</f>
      </c>
      <c r="J30" s="3">
        <f aca="false">I30-C30</f>
      </c>
      <c r="K30" s="3">
        <f aca="false">J30*F30</f>
      </c>
      <c r="L30" s="3">
        <f aca="false">K30*100</f>
      </c>
      <c r="M30" s="3">
        <f aca="false">E30*F30</f>
      </c>
      <c r="N30" s="3">
        <f aca="false">D30/1.055</f>
      </c>
      <c r="O30" s="3">
        <f aca="false">N30-B30</f>
      </c>
      <c r="P30" s="3">
        <f aca="false">O30*F30</f>
      </c>
      <c r="Q30" s="3">
        <f aca="false">P30*100</f>
      </c>
      <c r="R30" s="3">
        <f aca="false">D30*F30</f>
      </c>
    </row>
    <row r="31" customFormat="false" ht="15" hidden="false" customHeight="true" outlineLevel="0" collapsed="false">
      <c r="G31" s="1">
        <f aca="false">Q31/R31</f>
      </c>
      <c r="H31" s="1">
        <f aca="false">L31/M31</f>
      </c>
      <c r="I31" s="3">
        <f aca="false">E31/1.055</f>
      </c>
      <c r="J31" s="3">
        <f aca="false">I31-C31</f>
      </c>
      <c r="K31" s="3">
        <f aca="false">J31*F31</f>
      </c>
      <c r="L31" s="3">
        <f aca="false">K31*100</f>
      </c>
      <c r="M31" s="3">
        <f aca="false">E31*F31</f>
      </c>
      <c r="N31" s="3">
        <f aca="false">D31/1.055</f>
      </c>
      <c r="O31" s="3">
        <f aca="false">N31-B31</f>
      </c>
      <c r="P31" s="3">
        <f aca="false">O31*F31</f>
      </c>
      <c r="Q31" s="3">
        <f aca="false">P31*100</f>
      </c>
      <c r="R31" s="3">
        <f aca="false">D31*F31</f>
      </c>
    </row>
    <row r="32" customFormat="false" ht="15" hidden="false" customHeight="true" outlineLevel="0" collapsed="false">
      <c r="G32" s="1">
        <f aca="false">Q32/R32</f>
      </c>
      <c r="H32" s="1">
        <f aca="false">L32/M32</f>
      </c>
      <c r="I32" s="3">
        <f aca="false">E32/1.055</f>
      </c>
      <c r="J32" s="3">
        <f aca="false">I32-C32</f>
      </c>
      <c r="K32" s="3">
        <f aca="false">J32*F32</f>
      </c>
      <c r="L32" s="3">
        <f aca="false">K32*100</f>
      </c>
      <c r="M32" s="3">
        <f aca="false">E32*F32</f>
      </c>
      <c r="N32" s="3">
        <f aca="false">D32/1.055</f>
      </c>
      <c r="O32" s="3">
        <f aca="false">N32-B32</f>
      </c>
      <c r="P32" s="3">
        <f aca="false">O32*F32</f>
      </c>
      <c r="Q32" s="3">
        <f aca="false">P32*100</f>
      </c>
      <c r="R32" s="3">
        <f aca="false">D32*F32</f>
      </c>
    </row>
    <row r="33" customFormat="false" ht="15" hidden="false" customHeight="true" outlineLevel="0" collapsed="false">
      <c r="G33" s="1">
        <f aca="false">Q33/R33</f>
      </c>
      <c r="H33" s="1">
        <f aca="false">L33/M33</f>
      </c>
      <c r="I33" s="3">
        <f aca="false">E33/1.055</f>
      </c>
      <c r="J33" s="3">
        <f aca="false">I33-C33</f>
      </c>
      <c r="K33" s="3">
        <f aca="false">J33*F33</f>
      </c>
      <c r="L33" s="3">
        <f aca="false">K33*100</f>
      </c>
      <c r="M33" s="3">
        <f aca="false">E33*F33</f>
      </c>
      <c r="N33" s="3">
        <f aca="false">D33/1.055</f>
      </c>
      <c r="O33" s="3">
        <f aca="false">N33-B33</f>
      </c>
      <c r="P33" s="3">
        <f aca="false">O33*F33</f>
      </c>
      <c r="Q33" s="3">
        <f aca="false">P33*100</f>
      </c>
      <c r="R33" s="3">
        <f aca="false">D33*F33</f>
      </c>
    </row>
    <row r="34" customFormat="false" ht="15" hidden="false" customHeight="true" outlineLevel="0" collapsed="false">
      <c r="G34" s="1">
        <f aca="false">Q34/R34</f>
      </c>
      <c r="H34" s="1">
        <f aca="false">L34/M34</f>
      </c>
      <c r="I34" s="3">
        <f aca="false">E34/1.055</f>
      </c>
      <c r="J34" s="3">
        <f aca="false">I34-C34</f>
      </c>
      <c r="K34" s="3">
        <f aca="false">J34*F34</f>
      </c>
      <c r="L34" s="3">
        <f aca="false">K34*100</f>
      </c>
      <c r="M34" s="3">
        <f aca="false">E34*F34</f>
      </c>
      <c r="N34" s="3">
        <f aca="false">D34/1.055</f>
      </c>
      <c r="O34" s="3">
        <f aca="false">N34-B34</f>
      </c>
      <c r="P34" s="3">
        <f aca="false">O34*F34</f>
      </c>
      <c r="Q34" s="3">
        <f aca="false">P34*100</f>
      </c>
      <c r="R34" s="3">
        <f aca="false">D34*F34</f>
      </c>
    </row>
    <row r="35" customFormat="false" ht="15" hidden="false" customHeight="true" outlineLevel="0" collapsed="false">
      <c r="G35" s="1">
        <f aca="false">Q35/R35</f>
      </c>
      <c r="H35" s="1">
        <f aca="false">L35/M35</f>
      </c>
      <c r="I35" s="3">
        <f aca="false">E35/1.055</f>
      </c>
      <c r="J35" s="3">
        <f aca="false">I35-C35</f>
      </c>
      <c r="K35" s="3">
        <f aca="false">J35*F35</f>
      </c>
      <c r="L35" s="3">
        <f aca="false">K35*100</f>
      </c>
      <c r="M35" s="3">
        <f aca="false">E35*F35</f>
      </c>
      <c r="N35" s="3">
        <f aca="false">D35/1.055</f>
      </c>
      <c r="O35" s="3">
        <f aca="false">N35-B35</f>
      </c>
      <c r="P35" s="3">
        <f aca="false">O35*F35</f>
      </c>
      <c r="Q35" s="3">
        <f aca="false">P35*100</f>
      </c>
      <c r="R35" s="3">
        <f aca="false">D35*F35</f>
      </c>
    </row>
    <row r="36" customFormat="false" ht="15" hidden="false" customHeight="true" outlineLevel="0" collapsed="false">
      <c r="G36" s="1">
        <f aca="false">Q36/R36</f>
      </c>
      <c r="H36" s="1">
        <f aca="false">L36/M36</f>
      </c>
      <c r="I36" s="3">
        <f aca="false">E36/1.055</f>
      </c>
      <c r="J36" s="3">
        <f aca="false">I36-C36</f>
      </c>
      <c r="K36" s="3">
        <f aca="false">J36*F36</f>
      </c>
      <c r="L36" s="3">
        <f aca="false">K36*100</f>
      </c>
      <c r="M36" s="3">
        <f aca="false">E36*F36</f>
      </c>
      <c r="N36" s="3">
        <f aca="false">D36/1.055</f>
      </c>
      <c r="O36" s="3">
        <f aca="false">N36-B36</f>
      </c>
      <c r="P36" s="3">
        <f aca="false">O36*F36</f>
      </c>
      <c r="Q36" s="3">
        <f aca="false">P36*100</f>
      </c>
      <c r="R36" s="3">
        <f aca="false">D36*F36</f>
      </c>
    </row>
    <row r="37" customFormat="false" ht="15" hidden="false" customHeight="true" outlineLevel="0" collapsed="false">
      <c r="G37" s="1">
        <f aca="false">Q37/R37</f>
      </c>
      <c r="H37" s="1">
        <f aca="false">L37/M37</f>
      </c>
      <c r="I37" s="3">
        <f aca="false">E37/1.055</f>
      </c>
      <c r="J37" s="3">
        <f aca="false">I37-C37</f>
      </c>
      <c r="K37" s="3">
        <f aca="false">J37*F37</f>
      </c>
      <c r="L37" s="3">
        <f aca="false">K37*100</f>
      </c>
      <c r="M37" s="3">
        <f aca="false">E37*F37</f>
      </c>
      <c r="N37" s="3">
        <f aca="false">D37/1.055</f>
      </c>
      <c r="O37" s="3">
        <f aca="false">N37-B37</f>
      </c>
      <c r="P37" s="3">
        <f aca="false">O37*F37</f>
      </c>
      <c r="Q37" s="3">
        <f aca="false">P37*100</f>
      </c>
      <c r="R37" s="3">
        <f aca="false">D37*F37</f>
      </c>
    </row>
    <row r="38" customFormat="false" ht="15" hidden="false" customHeight="true" outlineLevel="0" collapsed="false">
      <c r="G38" s="1">
        <f aca="false">Q38/R38</f>
      </c>
      <c r="H38" s="1">
        <f aca="false">L38/M38</f>
      </c>
      <c r="I38" s="3">
        <f aca="false">E38/1.055</f>
      </c>
      <c r="J38" s="3">
        <f aca="false">I38-C38</f>
      </c>
      <c r="K38" s="3">
        <f aca="false">J38*F38</f>
      </c>
      <c r="L38" s="3">
        <f aca="false">K38*100</f>
      </c>
      <c r="M38" s="3">
        <f aca="false">E38*F38</f>
      </c>
      <c r="N38" s="3">
        <f aca="false">D38/1.055</f>
      </c>
      <c r="O38" s="3">
        <f aca="false">N38-B38</f>
      </c>
      <c r="P38" s="3">
        <f aca="false">O38*F38</f>
      </c>
      <c r="Q38" s="3">
        <f aca="false">P38*100</f>
      </c>
      <c r="R38" s="3">
        <f aca="false">D38*F38</f>
      </c>
    </row>
    <row r="39" customFormat="false" ht="15" hidden="false" customHeight="true" outlineLevel="0" collapsed="false">
      <c r="G39" s="1">
        <f aca="false">Q39/R39</f>
      </c>
      <c r="H39" s="1">
        <f aca="false">L39/M39</f>
      </c>
      <c r="I39" s="3">
        <f aca="false">E39/1.055</f>
      </c>
      <c r="J39" s="3">
        <f aca="false">I39-C39</f>
      </c>
      <c r="K39" s="3">
        <f aca="false">J39*F39</f>
      </c>
      <c r="L39" s="3">
        <f aca="false">K39*100</f>
      </c>
      <c r="M39" s="3">
        <f aca="false">E39*F39</f>
      </c>
      <c r="N39" s="3">
        <f aca="false">D39/1.055</f>
      </c>
      <c r="O39" s="3">
        <f aca="false">N39-B39</f>
      </c>
      <c r="P39" s="3">
        <f aca="false">O39*F39</f>
      </c>
      <c r="Q39" s="3">
        <f aca="false">P39*100</f>
      </c>
      <c r="R39" s="3">
        <f aca="false">D39*F39</f>
      </c>
    </row>
    <row r="40" customFormat="false" ht="15" hidden="false" customHeight="true" outlineLevel="0" collapsed="false">
      <c r="G40" s="1">
        <f aca="false">Q40/R40</f>
      </c>
      <c r="H40" s="1">
        <f aca="false">L40/M40</f>
      </c>
      <c r="I40" s="3">
        <f aca="false">E40/1.055</f>
      </c>
      <c r="J40" s="3">
        <f aca="false">I40-C40</f>
      </c>
      <c r="K40" s="3">
        <f aca="false">J40*F40</f>
      </c>
      <c r="L40" s="3">
        <f aca="false">K40*100</f>
      </c>
      <c r="M40" s="3">
        <f aca="false">E40*F40</f>
      </c>
      <c r="N40" s="3">
        <f aca="false">D40/1.055</f>
      </c>
      <c r="O40" s="3">
        <f aca="false">N40-B40</f>
      </c>
      <c r="P40" s="3">
        <f aca="false">O40*F40</f>
      </c>
      <c r="Q40" s="3">
        <f aca="false">P40*100</f>
      </c>
      <c r="R40" s="3">
        <f aca="false">D40*F40</f>
      </c>
    </row>
    <row r="41" customFormat="false" ht="15" hidden="false" customHeight="true" outlineLevel="0" collapsed="false">
      <c r="G41" s="1">
        <f aca="false">Q41/R41</f>
      </c>
      <c r="H41" s="1">
        <f aca="false">L41/M41</f>
      </c>
      <c r="I41" s="3">
        <f aca="false">E41/1.055</f>
      </c>
      <c r="J41" s="3">
        <f aca="false">I41-C41</f>
      </c>
      <c r="K41" s="3">
        <f aca="false">J41*F41</f>
      </c>
      <c r="L41" s="3">
        <f aca="false">K41*100</f>
      </c>
      <c r="M41" s="3">
        <f aca="false">E41*F41</f>
      </c>
      <c r="N41" s="3">
        <f aca="false">D41/1.055</f>
      </c>
      <c r="O41" s="3">
        <f aca="false">N41-B41</f>
      </c>
      <c r="P41" s="3">
        <f aca="false">O41*F41</f>
      </c>
      <c r="Q41" s="3">
        <f aca="false">P41*100</f>
      </c>
      <c r="R41" s="3">
        <f aca="false">D41*F41</f>
      </c>
    </row>
    <row r="42" customFormat="false" ht="15" hidden="false" customHeight="true" outlineLevel="0" collapsed="false">
      <c r="G42" s="1">
        <f aca="false">Q42/R42</f>
      </c>
      <c r="H42" s="1">
        <f aca="false">L42/M42</f>
      </c>
      <c r="I42" s="3">
        <f aca="false">E42/1.055</f>
      </c>
      <c r="J42" s="3">
        <f aca="false">I42-C42</f>
      </c>
      <c r="K42" s="3">
        <f aca="false">J42*F42</f>
      </c>
      <c r="L42" s="3">
        <f aca="false">K42*100</f>
      </c>
      <c r="M42" s="3">
        <f aca="false">E42*F42</f>
      </c>
      <c r="N42" s="3">
        <f aca="false">D42/1.055</f>
      </c>
      <c r="O42" s="3">
        <f aca="false">N42-B42</f>
      </c>
      <c r="P42" s="3">
        <f aca="false">O42*F42</f>
      </c>
      <c r="Q42" s="3">
        <f aca="false">P42*100</f>
      </c>
      <c r="R42" s="3">
        <f aca="false">D42*F42</f>
      </c>
    </row>
    <row r="43" customFormat="false" ht="15" hidden="false" customHeight="true" outlineLevel="0" collapsed="false">
      <c r="G43" s="1">
        <f aca="false">Q43/R43</f>
      </c>
      <c r="H43" s="1">
        <f aca="false">L43/M43</f>
      </c>
      <c r="I43" s="3">
        <f aca="false">E43/1.055</f>
      </c>
      <c r="J43" s="3">
        <f aca="false">I43-C43</f>
      </c>
      <c r="K43" s="3">
        <f aca="false">J43*F43</f>
      </c>
      <c r="L43" s="3">
        <f aca="false">K43*100</f>
      </c>
      <c r="M43" s="3">
        <f aca="false">E43*F43</f>
      </c>
      <c r="N43" s="3">
        <f aca="false">D43/1.055</f>
      </c>
      <c r="O43" s="3">
        <f aca="false">N43-B43</f>
      </c>
      <c r="P43" s="3">
        <f aca="false">O43*F43</f>
      </c>
      <c r="Q43" s="3">
        <f aca="false">P43*100</f>
      </c>
      <c r="R43" s="3">
        <f aca="false">D43*F43</f>
      </c>
    </row>
    <row r="44" customFormat="false" ht="15" hidden="false" customHeight="true" outlineLevel="0" collapsed="false">
      <c r="G44" s="1">
        <f aca="false">Q44/R44</f>
      </c>
      <c r="H44" s="1">
        <f aca="false">L44/M44</f>
      </c>
      <c r="I44" s="3">
        <f aca="false">E44/1.055</f>
      </c>
      <c r="J44" s="3">
        <f aca="false">I44-C44</f>
      </c>
      <c r="K44" s="3">
        <f aca="false">J44*F44</f>
      </c>
      <c r="L44" s="3">
        <f aca="false">K44*100</f>
      </c>
      <c r="M44" s="3">
        <f aca="false">E44*F44</f>
      </c>
      <c r="N44" s="3">
        <f aca="false">D44/1.055</f>
      </c>
      <c r="O44" s="3">
        <f aca="false">N44-B44</f>
      </c>
      <c r="P44" s="3">
        <f aca="false">O44*F44</f>
      </c>
      <c r="Q44" s="3">
        <f aca="false">P44*100</f>
      </c>
      <c r="R44" s="3">
        <f aca="false">D44*F44</f>
      </c>
    </row>
    <row r="45" customFormat="false" ht="15" hidden="false" customHeight="true" outlineLevel="0" collapsed="false">
      <c r="G45" s="1">
        <f aca="false">Q45/R45</f>
      </c>
      <c r="H45" s="1">
        <f aca="false">L45/M45</f>
      </c>
      <c r="I45" s="3">
        <f aca="false">E45/1.055</f>
      </c>
      <c r="J45" s="3">
        <f aca="false">I45-C45</f>
      </c>
      <c r="K45" s="3">
        <f aca="false">J45*F45</f>
      </c>
      <c r="L45" s="3">
        <f aca="false">K45*100</f>
      </c>
      <c r="M45" s="3">
        <f aca="false">E45*F45</f>
      </c>
      <c r="N45" s="3">
        <f aca="false">D45/1.055</f>
      </c>
      <c r="O45" s="3">
        <f aca="false">N45-B45</f>
      </c>
      <c r="P45" s="3">
        <f aca="false">O45*F45</f>
      </c>
      <c r="Q45" s="3">
        <f aca="false">P45*100</f>
      </c>
      <c r="R45" s="3">
        <f aca="false">D45*F45</f>
      </c>
    </row>
    <row r="46" customFormat="false" ht="15" hidden="false" customHeight="true" outlineLevel="0" collapsed="false">
      <c r="G46" s="1">
        <f aca="false">Q46/R46</f>
      </c>
      <c r="H46" s="1">
        <f aca="false">L46/M46</f>
      </c>
      <c r="I46" s="3">
        <f aca="false">E46/1.055</f>
      </c>
      <c r="J46" s="3">
        <f aca="false">I46-C46</f>
      </c>
      <c r="K46" s="3">
        <f aca="false">J46*F46</f>
      </c>
      <c r="L46" s="3">
        <f aca="false">K46*100</f>
      </c>
      <c r="M46" s="3">
        <f aca="false">E46*F46</f>
      </c>
      <c r="N46" s="3">
        <f aca="false">D46/1.055</f>
      </c>
      <c r="O46" s="3">
        <f aca="false">N46-B46</f>
      </c>
      <c r="P46" s="3">
        <f aca="false">O46*F46</f>
      </c>
      <c r="Q46" s="3">
        <f aca="false">P46*100</f>
      </c>
      <c r="R46" s="3">
        <f aca="false">D46*F46</f>
      </c>
    </row>
    <row r="47" customFormat="false" ht="15" hidden="false" customHeight="true" outlineLevel="0" collapsed="false">
      <c r="G47" s="1">
        <f aca="false">Q47/R47</f>
      </c>
      <c r="H47" s="1">
        <f aca="false">L47/M47</f>
      </c>
      <c r="I47" s="3">
        <f aca="false">E47/1.055</f>
      </c>
      <c r="J47" s="3">
        <f aca="false">I47-C47</f>
      </c>
      <c r="K47" s="3">
        <f aca="false">J47*F47</f>
      </c>
      <c r="L47" s="3">
        <f aca="false">K47*100</f>
      </c>
      <c r="M47" s="3">
        <f aca="false">E47*F47</f>
      </c>
      <c r="N47" s="3">
        <f aca="false">D47/1.055</f>
      </c>
      <c r="O47" s="3">
        <f aca="false">N47-B47</f>
      </c>
      <c r="P47" s="3">
        <f aca="false">O47*F47</f>
      </c>
      <c r="Q47" s="3">
        <f aca="false">P47*100</f>
      </c>
      <c r="R47" s="3">
        <f aca="false">D47*F47</f>
      </c>
    </row>
    <row r="48" customFormat="false" ht="15" hidden="false" customHeight="true" outlineLevel="0" collapsed="false">
      <c r="G48" s="1">
        <f aca="false">Q48/R48</f>
      </c>
      <c r="H48" s="1">
        <f aca="false">L48/M48</f>
      </c>
      <c r="I48" s="3">
        <f aca="false">E48/1.055</f>
      </c>
      <c r="J48" s="3">
        <f aca="false">I48-C48</f>
      </c>
      <c r="K48" s="3">
        <f aca="false">J48*F48</f>
      </c>
      <c r="L48" s="3">
        <f aca="false">K48*100</f>
      </c>
      <c r="M48" s="3">
        <f aca="false">E48*F48</f>
      </c>
      <c r="N48" s="3">
        <f aca="false">D48/1.055</f>
      </c>
      <c r="O48" s="3">
        <f aca="false">N48-B48</f>
      </c>
      <c r="P48" s="3">
        <f aca="false">O48*F48</f>
      </c>
      <c r="Q48" s="3">
        <f aca="false">P48*100</f>
      </c>
      <c r="R48" s="3">
        <f aca="false">D48*F48</f>
      </c>
    </row>
    <row r="49" customFormat="false" ht="15" hidden="false" customHeight="true" outlineLevel="0" collapsed="false">
      <c r="G49" s="1">
        <f aca="false">Q49/R49</f>
      </c>
      <c r="H49" s="1">
        <f aca="false">L49/M49</f>
      </c>
      <c r="I49" s="3">
        <f aca="false">E49/1.055</f>
      </c>
      <c r="J49" s="3">
        <f aca="false">I49-C49</f>
      </c>
      <c r="K49" s="3">
        <f aca="false">J49*F49</f>
      </c>
      <c r="L49" s="3">
        <f aca="false">K49*100</f>
      </c>
      <c r="M49" s="3">
        <f aca="false">E49*F49</f>
      </c>
      <c r="N49" s="3">
        <f aca="false">D49/1.055</f>
      </c>
      <c r="O49" s="3">
        <f aca="false">N49-B49</f>
      </c>
      <c r="P49" s="3">
        <f aca="false">O49*F49</f>
      </c>
      <c r="Q49" s="3">
        <f aca="false">P49*100</f>
      </c>
      <c r="R49" s="3">
        <f aca="false">D49*F49</f>
      </c>
    </row>
    <row r="50" customFormat="false" ht="15" hidden="false" customHeight="true" outlineLevel="0" collapsed="false">
      <c r="G50" s="1">
        <f aca="false">Q50/R50</f>
      </c>
      <c r="H50" s="1">
        <f aca="false">L50/M50</f>
      </c>
      <c r="I50" s="3">
        <f aca="false">E50/1.055</f>
      </c>
      <c r="J50" s="3">
        <f aca="false">I50-C50</f>
      </c>
      <c r="K50" s="3">
        <f aca="false">J50*F50</f>
      </c>
      <c r="L50" s="3">
        <f aca="false">K50*100</f>
      </c>
      <c r="M50" s="3">
        <f aca="false">E50*F50</f>
      </c>
      <c r="N50" s="3">
        <f aca="false">D50/1.055</f>
      </c>
      <c r="O50" s="3">
        <f aca="false">N50-B50</f>
      </c>
      <c r="P50" s="3">
        <f aca="false">O50*F50</f>
      </c>
      <c r="Q50" s="3">
        <f aca="false">P50*100</f>
      </c>
      <c r="R50" s="3">
        <f aca="false">D50*F50</f>
      </c>
    </row>
    <row r="51" customFormat="false" ht="15" hidden="false" customHeight="true" outlineLevel="0" collapsed="false">
      <c r="G51" s="1">
        <f aca="false">Q51/R51</f>
      </c>
      <c r="H51" s="1">
        <f aca="false">L51/M51</f>
      </c>
      <c r="I51" s="3">
        <f aca="false">E51/1.055</f>
      </c>
      <c r="J51" s="3">
        <f aca="false">I51-C51</f>
      </c>
      <c r="K51" s="3">
        <f aca="false">J51*F51</f>
      </c>
      <c r="L51" s="3">
        <f aca="false">K51*100</f>
      </c>
      <c r="M51" s="3">
        <f aca="false">E51*F51</f>
      </c>
      <c r="N51" s="3">
        <f aca="false">D51/1.055</f>
      </c>
      <c r="O51" s="3">
        <f aca="false">N51-B51</f>
      </c>
      <c r="P51" s="3">
        <f aca="false">O51*F51</f>
      </c>
      <c r="Q51" s="3">
        <f aca="false">P51*100</f>
      </c>
      <c r="R51" s="3">
        <f aca="false">D51*F51</f>
      </c>
    </row>
  </sheetData>
  <conditionalFormatting sqref="E50">
    <cfRule type="cellIs" priority="2" operator="lessThan" aboveAverage="0" equalAverage="0" bottom="0" percent="0" rank="0" text="" dxfId="0">
      <formula>$D$50</formula>
    </cfRule>
  </conditionalFormatting>
  <conditionalFormatting sqref="D50">
    <cfRule type="cellIs" priority="3" operator="lessThan" aboveAverage="0" equalAverage="0" bottom="0" percent="0" rank="0" text="" dxfId="0">
      <formula>$E$50</formula>
    </cfRule>
  </conditionalFormatting>
  <conditionalFormatting sqref="E49">
    <cfRule type="cellIs" priority="4" operator="lessThan" aboveAverage="0" equalAverage="0" bottom="0" percent="0" rank="0" text="" dxfId="0">
      <formula>$D$49</formula>
    </cfRule>
  </conditionalFormatting>
  <conditionalFormatting sqref="D49">
    <cfRule type="cellIs" priority="5" operator="lessThan" aboveAverage="0" equalAverage="0" bottom="0" percent="0" rank="0" text="" dxfId="0">
      <formula>$E$49</formula>
    </cfRule>
  </conditionalFormatting>
  <conditionalFormatting sqref="E48">
    <cfRule type="cellIs" priority="6" operator="lessThan" aboveAverage="0" equalAverage="0" bottom="0" percent="0" rank="0" text="" dxfId="0">
      <formula>$D$48</formula>
    </cfRule>
  </conditionalFormatting>
  <conditionalFormatting sqref="D48">
    <cfRule type="cellIs" priority="7" operator="lessThan" aboveAverage="0" equalAverage="0" bottom="0" percent="0" rank="0" text="" dxfId="0">
      <formula>$E$48</formula>
    </cfRule>
  </conditionalFormatting>
  <conditionalFormatting sqref="E47">
    <cfRule type="cellIs" priority="8" operator="lessThan" aboveAverage="0" equalAverage="0" bottom="0" percent="0" rank="0" text="" dxfId="0">
      <formula>$D$47</formula>
    </cfRule>
  </conditionalFormatting>
  <conditionalFormatting sqref="D47">
    <cfRule type="cellIs" priority="9" operator="lessThan" aboveAverage="0" equalAverage="0" bottom="0" percent="0" rank="0" text="" dxfId="0">
      <formula>$E$47</formula>
    </cfRule>
  </conditionalFormatting>
  <conditionalFormatting sqref="E46">
    <cfRule type="cellIs" priority="10" operator="lessThan" aboveAverage="0" equalAverage="0" bottom="0" percent="0" rank="0" text="" dxfId="0">
      <formula>$D$46</formula>
    </cfRule>
  </conditionalFormatting>
  <conditionalFormatting sqref="D46">
    <cfRule type="cellIs" priority="11" operator="lessThan" aboveAverage="0" equalAverage="0" bottom="0" percent="0" rank="0" text="" dxfId="0">
      <formula>$E$46</formula>
    </cfRule>
  </conditionalFormatting>
  <conditionalFormatting sqref="E45">
    <cfRule type="cellIs" priority="12" operator="lessThan" aboveAverage="0" equalAverage="0" bottom="0" percent="0" rank="0" text="" dxfId="0">
      <formula>$D$45</formula>
    </cfRule>
  </conditionalFormatting>
  <conditionalFormatting sqref="D45">
    <cfRule type="cellIs" priority="13" operator="lessThan" aboveAverage="0" equalAverage="0" bottom="0" percent="0" rank="0" text="" dxfId="0">
      <formula>$E$45</formula>
    </cfRule>
  </conditionalFormatting>
  <conditionalFormatting sqref="E44">
    <cfRule type="cellIs" priority="14" operator="lessThan" aboveAverage="0" equalAverage="0" bottom="0" percent="0" rank="0" text="" dxfId="0">
      <formula>$D$44</formula>
    </cfRule>
  </conditionalFormatting>
  <conditionalFormatting sqref="D44">
    <cfRule type="cellIs" priority="15" operator="lessThan" aboveAverage="0" equalAverage="0" bottom="0" percent="0" rank="0" text="" dxfId="0">
      <formula>$E$44</formula>
    </cfRule>
  </conditionalFormatting>
  <conditionalFormatting sqref="E43">
    <cfRule type="cellIs" priority="16" operator="lessThan" aboveAverage="0" equalAverage="0" bottom="0" percent="0" rank="0" text="" dxfId="0">
      <formula>$D$43</formula>
    </cfRule>
  </conditionalFormatting>
  <conditionalFormatting sqref="D43">
    <cfRule type="cellIs" priority="17" operator="lessThan" aboveAverage="0" equalAverage="0" bottom="0" percent="0" rank="0" text="" dxfId="0">
      <formula>$E$43</formula>
    </cfRule>
  </conditionalFormatting>
  <conditionalFormatting sqref="E42">
    <cfRule type="cellIs" priority="18" operator="lessThan" aboveAverage="0" equalAverage="0" bottom="0" percent="0" rank="0" text="" dxfId="0">
      <formula>$D$42</formula>
    </cfRule>
  </conditionalFormatting>
  <conditionalFormatting sqref="D42">
    <cfRule type="cellIs" priority="19" operator="lessThan" aboveAverage="0" equalAverage="0" bottom="0" percent="0" rank="0" text="" dxfId="0">
      <formula>$E$42</formula>
    </cfRule>
  </conditionalFormatting>
  <conditionalFormatting sqref="E41">
    <cfRule type="cellIs" priority="20" operator="lessThan" aboveAverage="0" equalAverage="0" bottom="0" percent="0" rank="0" text="" dxfId="0">
      <formula>$D$41</formula>
    </cfRule>
  </conditionalFormatting>
  <conditionalFormatting sqref="D41">
    <cfRule type="cellIs" priority="21" operator="lessThan" aboveAverage="0" equalAverage="0" bottom="0" percent="0" rank="0" text="" dxfId="0">
      <formula>$E$41</formula>
    </cfRule>
  </conditionalFormatting>
  <conditionalFormatting sqref="E40">
    <cfRule type="cellIs" priority="22" operator="lessThan" aboveAverage="0" equalAverage="0" bottom="0" percent="0" rank="0" text="" dxfId="0">
      <formula>$D$40</formula>
    </cfRule>
  </conditionalFormatting>
  <conditionalFormatting sqref="D40">
    <cfRule type="cellIs" priority="23" operator="lessThan" aboveAverage="0" equalAverage="0" bottom="0" percent="0" rank="0" text="" dxfId="0">
      <formula>$E$40</formula>
    </cfRule>
  </conditionalFormatting>
  <conditionalFormatting sqref="E39">
    <cfRule type="cellIs" priority="24" operator="lessThan" aboveAverage="0" equalAverage="0" bottom="0" percent="0" rank="0" text="" dxfId="0">
      <formula>$D$39</formula>
    </cfRule>
  </conditionalFormatting>
  <conditionalFormatting sqref="D39">
    <cfRule type="cellIs" priority="25" operator="lessThan" aboveAverage="0" equalAverage="0" bottom="0" percent="0" rank="0" text="" dxfId="0">
      <formula>$E$39</formula>
    </cfRule>
  </conditionalFormatting>
  <conditionalFormatting sqref="E38">
    <cfRule type="cellIs" priority="26" operator="lessThan" aboveAverage="0" equalAverage="0" bottom="0" percent="0" rank="0" text="" dxfId="0">
      <formula>$D$38</formula>
    </cfRule>
  </conditionalFormatting>
  <conditionalFormatting sqref="D38">
    <cfRule type="cellIs" priority="27" operator="lessThan" aboveAverage="0" equalAverage="0" bottom="0" percent="0" rank="0" text="" dxfId="0">
      <formula>$E$38</formula>
    </cfRule>
  </conditionalFormatting>
  <conditionalFormatting sqref="E37">
    <cfRule type="cellIs" priority="28" operator="lessThan" aboveAverage="0" equalAverage="0" bottom="0" percent="0" rank="0" text="" dxfId="0">
      <formula>$D$37</formula>
    </cfRule>
  </conditionalFormatting>
  <conditionalFormatting sqref="D37">
    <cfRule type="cellIs" priority="29" operator="lessThan" aboveAverage="0" equalAverage="0" bottom="0" percent="0" rank="0" text="" dxfId="0">
      <formula>$E$37</formula>
    </cfRule>
  </conditionalFormatting>
  <conditionalFormatting sqref="E36">
    <cfRule type="cellIs" priority="30" operator="lessThan" aboveAverage="0" equalAverage="0" bottom="0" percent="0" rank="0" text="" dxfId="0">
      <formula>$D$36</formula>
    </cfRule>
  </conditionalFormatting>
  <conditionalFormatting sqref="D36">
    <cfRule type="cellIs" priority="31" operator="lessThan" aboveAverage="0" equalAverage="0" bottom="0" percent="0" rank="0" text="" dxfId="0">
      <formula>$E$36</formula>
    </cfRule>
  </conditionalFormatting>
  <conditionalFormatting sqref="E35">
    <cfRule type="cellIs" priority="32" operator="lessThan" aboveAverage="0" equalAverage="0" bottom="0" percent="0" rank="0" text="" dxfId="0">
      <formula>$D$35</formula>
    </cfRule>
  </conditionalFormatting>
  <conditionalFormatting sqref="D35">
    <cfRule type="cellIs" priority="33" operator="lessThan" aboveAverage="0" equalAverage="0" bottom="0" percent="0" rank="0" text="" dxfId="0">
      <formula>$E$35</formula>
    </cfRule>
  </conditionalFormatting>
  <conditionalFormatting sqref="E34">
    <cfRule type="cellIs" priority="34" operator="lessThan" aboveAverage="0" equalAverage="0" bottom="0" percent="0" rank="0" text="" dxfId="0">
      <formula>$D$34</formula>
    </cfRule>
  </conditionalFormatting>
  <conditionalFormatting sqref="D34">
    <cfRule type="cellIs" priority="35" operator="lessThan" aboveAverage="0" equalAverage="0" bottom="0" percent="0" rank="0" text="" dxfId="0">
      <formula>$E$34</formula>
    </cfRule>
  </conditionalFormatting>
  <conditionalFormatting sqref="E33">
    <cfRule type="cellIs" priority="36" operator="lessThan" aboveAverage="0" equalAverage="0" bottom="0" percent="0" rank="0" text="" dxfId="0">
      <formula>$D$33</formula>
    </cfRule>
  </conditionalFormatting>
  <conditionalFormatting sqref="D33">
    <cfRule type="cellIs" priority="37" operator="lessThan" aboveAverage="0" equalAverage="0" bottom="0" percent="0" rank="0" text="" dxfId="0">
      <formula>$E$33</formula>
    </cfRule>
  </conditionalFormatting>
  <conditionalFormatting sqref="E32">
    <cfRule type="cellIs" priority="38" operator="lessThan" aboveAverage="0" equalAverage="0" bottom="0" percent="0" rank="0" text="" dxfId="0">
      <formula>$D$32</formula>
    </cfRule>
  </conditionalFormatting>
  <conditionalFormatting sqref="D32">
    <cfRule type="cellIs" priority="39" operator="lessThan" aboveAverage="0" equalAverage="0" bottom="0" percent="0" rank="0" text="" dxfId="0">
      <formula>$E$32</formula>
    </cfRule>
  </conditionalFormatting>
  <conditionalFormatting sqref="E31">
    <cfRule type="cellIs" priority="40" operator="lessThan" aboveAverage="0" equalAverage="0" bottom="0" percent="0" rank="0" text="" dxfId="0">
      <formula>$D$31</formula>
    </cfRule>
  </conditionalFormatting>
  <conditionalFormatting sqref="D31">
    <cfRule type="cellIs" priority="41" operator="lessThan" aboveAverage="0" equalAverage="0" bottom="0" percent="0" rank="0" text="" dxfId="0">
      <formula>$E$31</formula>
    </cfRule>
  </conditionalFormatting>
  <conditionalFormatting sqref="E30">
    <cfRule type="cellIs" priority="42" operator="lessThan" aboveAverage="0" equalAverage="0" bottom="0" percent="0" rank="0" text="" dxfId="0">
      <formula>$D$30</formula>
    </cfRule>
  </conditionalFormatting>
  <conditionalFormatting sqref="D30">
    <cfRule type="cellIs" priority="43" operator="lessThan" aboveAverage="0" equalAverage="0" bottom="0" percent="0" rank="0" text="" dxfId="0">
      <formula>$E$30</formula>
    </cfRule>
  </conditionalFormatting>
  <conditionalFormatting sqref="E29">
    <cfRule type="cellIs" priority="44" operator="lessThan" aboveAverage="0" equalAverage="0" bottom="0" percent="0" rank="0" text="" dxfId="0">
      <formula>$D$29</formula>
    </cfRule>
  </conditionalFormatting>
  <conditionalFormatting sqref="D29">
    <cfRule type="cellIs" priority="45" operator="lessThan" aboveAverage="0" equalAverage="0" bottom="0" percent="0" rank="0" text="" dxfId="0">
      <formula>$E$29</formula>
    </cfRule>
  </conditionalFormatting>
  <conditionalFormatting sqref="E28">
    <cfRule type="cellIs" priority="46" operator="lessThan" aboveAverage="0" equalAverage="0" bottom="0" percent="0" rank="0" text="" dxfId="0">
      <formula>$D$28</formula>
    </cfRule>
  </conditionalFormatting>
  <conditionalFormatting sqref="D28">
    <cfRule type="cellIs" priority="47" operator="lessThan" aboveAverage="0" equalAverage="0" bottom="0" percent="0" rank="0" text="" dxfId="0">
      <formula>$E$28</formula>
    </cfRule>
  </conditionalFormatting>
  <conditionalFormatting sqref="E27">
    <cfRule type="cellIs" priority="48" operator="lessThan" aboveAverage="0" equalAverage="0" bottom="0" percent="0" rank="0" text="" dxfId="0">
      <formula>$D$27</formula>
    </cfRule>
  </conditionalFormatting>
  <conditionalFormatting sqref="D27">
    <cfRule type="cellIs" priority="49" operator="lessThan" aboveAverage="0" equalAverage="0" bottom="0" percent="0" rank="0" text="" dxfId="0">
      <formula>$E$27</formula>
    </cfRule>
  </conditionalFormatting>
  <conditionalFormatting sqref="E26">
    <cfRule type="cellIs" priority="50" operator="lessThan" aboveAverage="0" equalAverage="0" bottom="0" percent="0" rank="0" text="" dxfId="0">
      <formula>$D$26</formula>
    </cfRule>
  </conditionalFormatting>
  <conditionalFormatting sqref="D26">
    <cfRule type="cellIs" priority="51" operator="lessThan" aboveAverage="0" equalAverage="0" bottom="0" percent="0" rank="0" text="" dxfId="0">
      <formula>$E$26</formula>
    </cfRule>
  </conditionalFormatting>
  <conditionalFormatting sqref="E25">
    <cfRule type="cellIs" priority="52" operator="lessThan" aboveAverage="0" equalAverage="0" bottom="0" percent="0" rank="0" text="" dxfId="0">
      <formula>$D$25</formula>
    </cfRule>
  </conditionalFormatting>
  <conditionalFormatting sqref="D25">
    <cfRule type="cellIs" priority="53" operator="lessThan" aboveAverage="0" equalAverage="0" bottom="0" percent="0" rank="0" text="" dxfId="0">
      <formula>$E$25</formula>
    </cfRule>
  </conditionalFormatting>
  <conditionalFormatting sqref="E24">
    <cfRule type="cellIs" priority="54" operator="lessThan" aboveAverage="0" equalAverage="0" bottom="0" percent="0" rank="0" text="" dxfId="0">
      <formula>$D$24</formula>
    </cfRule>
  </conditionalFormatting>
  <conditionalFormatting sqref="D24">
    <cfRule type="cellIs" priority="55" operator="lessThan" aboveAverage="0" equalAverage="0" bottom="0" percent="0" rank="0" text="" dxfId="0">
      <formula>$E$24</formula>
    </cfRule>
  </conditionalFormatting>
  <conditionalFormatting sqref="E23">
    <cfRule type="cellIs" priority="56" operator="lessThan" aboveAverage="0" equalAverage="0" bottom="0" percent="0" rank="0" text="" dxfId="0">
      <formula>$D$23</formula>
    </cfRule>
  </conditionalFormatting>
  <conditionalFormatting sqref="D23">
    <cfRule type="cellIs" priority="57" operator="lessThan" aboveAverage="0" equalAverage="0" bottom="0" percent="0" rank="0" text="" dxfId="0">
      <formula>$E$23</formula>
    </cfRule>
  </conditionalFormatting>
  <conditionalFormatting sqref="E22">
    <cfRule type="cellIs" priority="58" operator="lessThan" aboveAverage="0" equalAverage="0" bottom="0" percent="0" rank="0" text="" dxfId="0">
      <formula>$D$22</formula>
    </cfRule>
  </conditionalFormatting>
  <conditionalFormatting sqref="D22">
    <cfRule type="cellIs" priority="59" operator="lessThan" aboveAverage="0" equalAverage="0" bottom="0" percent="0" rank="0" text="" dxfId="0">
      <formula>$E$22</formula>
    </cfRule>
  </conditionalFormatting>
  <conditionalFormatting sqref="E21">
    <cfRule type="cellIs" priority="60" operator="lessThan" aboveAverage="0" equalAverage="0" bottom="0" percent="0" rank="0" text="" dxfId="0">
      <formula>$D$21</formula>
    </cfRule>
  </conditionalFormatting>
  <conditionalFormatting sqref="D21">
    <cfRule type="cellIs" priority="61" operator="lessThan" aboveAverage="0" equalAverage="0" bottom="0" percent="0" rank="0" text="" dxfId="0">
      <formula>$E$21</formula>
    </cfRule>
  </conditionalFormatting>
  <conditionalFormatting sqref="E20">
    <cfRule type="cellIs" priority="62" operator="lessThan" aboveAverage="0" equalAverage="0" bottom="0" percent="0" rank="0" text="" dxfId="0">
      <formula>$D$20</formula>
    </cfRule>
  </conditionalFormatting>
  <conditionalFormatting sqref="D20">
    <cfRule type="cellIs" priority="63" operator="lessThan" aboveAverage="0" equalAverage="0" bottom="0" percent="0" rank="0" text="" dxfId="0">
      <formula>$E$20</formula>
    </cfRule>
  </conditionalFormatting>
  <conditionalFormatting sqref="E19">
    <cfRule type="cellIs" priority="64" operator="lessThan" aboveAverage="0" equalAverage="0" bottom="0" percent="0" rank="0" text="" dxfId="0">
      <formula>$D$19</formula>
    </cfRule>
  </conditionalFormatting>
  <conditionalFormatting sqref="D19">
    <cfRule type="cellIs" priority="65" operator="lessThan" aboveAverage="0" equalAverage="0" bottom="0" percent="0" rank="0" text="" dxfId="0">
      <formula>$E$19</formula>
    </cfRule>
  </conditionalFormatting>
  <conditionalFormatting sqref="E18">
    <cfRule type="cellIs" priority="66" operator="lessThan" aboveAverage="0" equalAverage="0" bottom="0" percent="0" rank="0" text="" dxfId="0">
      <formula>$D$18</formula>
    </cfRule>
  </conditionalFormatting>
  <conditionalFormatting sqref="D18">
    <cfRule type="cellIs" priority="67" operator="lessThan" aboveAverage="0" equalAverage="0" bottom="0" percent="0" rank="0" text="" dxfId="0">
      <formula>$E$18</formula>
    </cfRule>
  </conditionalFormatting>
  <conditionalFormatting sqref="E17">
    <cfRule type="cellIs" priority="68" operator="lessThan" aboveAverage="0" equalAverage="0" bottom="0" percent="0" rank="0" text="" dxfId="0">
      <formula>$D$17</formula>
    </cfRule>
  </conditionalFormatting>
  <conditionalFormatting sqref="D17">
    <cfRule type="cellIs" priority="69" operator="lessThan" aboveAverage="0" equalAverage="0" bottom="0" percent="0" rank="0" text="" dxfId="0">
      <formula>$E$17</formula>
    </cfRule>
  </conditionalFormatting>
  <conditionalFormatting sqref="E16">
    <cfRule type="cellIs" priority="70" operator="lessThan" aboveAverage="0" equalAverage="0" bottom="0" percent="0" rank="0" text="" dxfId="0">
      <formula>$D$16</formula>
    </cfRule>
  </conditionalFormatting>
  <conditionalFormatting sqref="D16">
    <cfRule type="cellIs" priority="71" operator="lessThan" aboveAverage="0" equalAverage="0" bottom="0" percent="0" rank="0" text="" dxfId="0">
      <formula>$E$16</formula>
    </cfRule>
  </conditionalFormatting>
  <conditionalFormatting sqref="E15">
    <cfRule type="cellIs" priority="72" operator="lessThan" aboveAverage="0" equalAverage="0" bottom="0" percent="0" rank="0" text="" dxfId="0">
      <formula>$D$15</formula>
    </cfRule>
  </conditionalFormatting>
  <conditionalFormatting sqref="D15">
    <cfRule type="cellIs" priority="73" operator="lessThan" aboveAverage="0" equalAverage="0" bottom="0" percent="0" rank="0" text="" dxfId="0">
      <formula>$E$15</formula>
    </cfRule>
  </conditionalFormatting>
  <conditionalFormatting sqref="E14">
    <cfRule type="cellIs" priority="74" operator="lessThan" aboveAverage="0" equalAverage="0" bottom="0" percent="0" rank="0" text="" dxfId="0">
      <formula>$D$14</formula>
    </cfRule>
  </conditionalFormatting>
  <conditionalFormatting sqref="D14">
    <cfRule type="cellIs" priority="75" operator="lessThan" aboveAverage="0" equalAverage="0" bottom="0" percent="0" rank="0" text="" dxfId="0">
      <formula>$E$14</formula>
    </cfRule>
  </conditionalFormatting>
  <conditionalFormatting sqref="E13">
    <cfRule type="cellIs" priority="76" operator="lessThan" aboveAverage="0" equalAverage="0" bottom="0" percent="0" rank="0" text="" dxfId="0">
      <formula>$D$13</formula>
    </cfRule>
  </conditionalFormatting>
  <conditionalFormatting sqref="D13">
    <cfRule type="cellIs" priority="77" operator="lessThan" aboveAverage="0" equalAverage="0" bottom="0" percent="0" rank="0" text="" dxfId="0">
      <formula>$E$13</formula>
    </cfRule>
  </conditionalFormatting>
  <conditionalFormatting sqref="E12">
    <cfRule type="cellIs" priority="78" operator="lessThan" aboveAverage="0" equalAverage="0" bottom="0" percent="0" rank="0" text="" dxfId="0">
      <formula>$D$12</formula>
    </cfRule>
  </conditionalFormatting>
  <conditionalFormatting sqref="D12">
    <cfRule type="cellIs" priority="79" operator="lessThan" aboveAverage="0" equalAverage="0" bottom="0" percent="0" rank="0" text="" dxfId="0">
      <formula>$E$12</formula>
    </cfRule>
  </conditionalFormatting>
  <conditionalFormatting sqref="E11">
    <cfRule type="cellIs" priority="80" operator="lessThan" aboveAverage="0" equalAverage="0" bottom="0" percent="0" rank="0" text="" dxfId="0">
      <formula>$D$11</formula>
    </cfRule>
  </conditionalFormatting>
  <conditionalFormatting sqref="D11">
    <cfRule type="cellIs" priority="81" operator="lessThan" aboveAverage="0" equalAverage="0" bottom="0" percent="0" rank="0" text="" dxfId="0">
      <formula>$E$11</formula>
    </cfRule>
  </conditionalFormatting>
  <conditionalFormatting sqref="E10">
    <cfRule type="cellIs" priority="82" operator="lessThan" aboveAverage="0" equalAverage="0" bottom="0" percent="0" rank="0" text="" dxfId="0">
      <formula>$D$10</formula>
    </cfRule>
  </conditionalFormatting>
  <conditionalFormatting sqref="D10">
    <cfRule type="cellIs" priority="83" operator="lessThan" aboveAverage="0" equalAverage="0" bottom="0" percent="0" rank="0" text="" dxfId="0">
      <formula>$E$10</formula>
    </cfRule>
  </conditionalFormatting>
  <conditionalFormatting sqref="E9">
    <cfRule type="cellIs" priority="84" operator="lessThan" aboveAverage="0" equalAverage="0" bottom="0" percent="0" rank="0" text="" dxfId="0">
      <formula>$D$9</formula>
    </cfRule>
  </conditionalFormatting>
  <conditionalFormatting sqref="D9">
    <cfRule type="cellIs" priority="85" operator="lessThan" aboveAverage="0" equalAverage="0" bottom="0" percent="0" rank="0" text="" dxfId="0">
      <formula>$E$9</formula>
    </cfRule>
  </conditionalFormatting>
  <conditionalFormatting sqref="E8">
    <cfRule type="cellIs" priority="86" operator="lessThan" aboveAverage="0" equalAverage="0" bottom="0" percent="0" rank="0" text="" dxfId="0">
      <formula>$D$8</formula>
    </cfRule>
  </conditionalFormatting>
  <conditionalFormatting sqref="D8">
    <cfRule type="cellIs" priority="87" operator="lessThan" aboveAverage="0" equalAverage="0" bottom="0" percent="0" rank="0" text="" dxfId="0">
      <formula>$E$8</formula>
    </cfRule>
  </conditionalFormatting>
  <conditionalFormatting sqref="E7">
    <cfRule type="cellIs" priority="88" operator="lessThan" aboveAverage="0" equalAverage="0" bottom="0" percent="0" rank="0" text="" dxfId="0">
      <formula>$D$7</formula>
    </cfRule>
  </conditionalFormatting>
  <conditionalFormatting sqref="D7">
    <cfRule type="cellIs" priority="89" operator="lessThan" aboveAverage="0" equalAverage="0" bottom="0" percent="0" rank="0" text="" dxfId="0">
      <formula>$E$7</formula>
    </cfRule>
  </conditionalFormatting>
  <conditionalFormatting sqref="E6">
    <cfRule type="cellIs" priority="90" operator="lessThan" aboveAverage="0" equalAverage="0" bottom="0" percent="0" rank="0" text="" dxfId="0">
      <formula>$D$6</formula>
    </cfRule>
  </conditionalFormatting>
  <conditionalFormatting sqref="D6">
    <cfRule type="cellIs" priority="91" operator="lessThan" aboveAverage="0" equalAverage="0" bottom="0" percent="0" rank="0" text="" dxfId="0">
      <formula>$E$6</formula>
    </cfRule>
  </conditionalFormatting>
  <conditionalFormatting sqref="E5">
    <cfRule type="cellIs" priority="92" operator="lessThan" aboveAverage="0" equalAverage="0" bottom="0" percent="0" rank="0" text="" dxfId="0">
      <formula>$D$5</formula>
    </cfRule>
  </conditionalFormatting>
  <conditionalFormatting sqref="D5">
    <cfRule type="cellIs" priority="93" operator="lessThan" aboveAverage="0" equalAverage="0" bottom="0" percent="0" rank="0" text="" dxfId="0">
      <formula>$E$5</formula>
    </cfRule>
  </conditionalFormatting>
  <conditionalFormatting sqref="E4">
    <cfRule type="cellIs" priority="94" operator="lessThan" aboveAverage="0" equalAverage="0" bottom="0" percent="0" rank="0" text="" dxfId="0">
      <formula>$D$4</formula>
    </cfRule>
  </conditionalFormatting>
  <conditionalFormatting sqref="D4">
    <cfRule type="cellIs" priority="95" operator="lessThan" aboveAverage="0" equalAverage="0" bottom="0" percent="0" rank="0" text="" dxfId="0">
      <formula>$E$4</formula>
    </cfRule>
  </conditionalFormatting>
  <conditionalFormatting sqref="C50">
    <cfRule type="cellIs" priority="96" operator="lessThan" aboveAverage="0" equalAverage="0" bottom="0" percent="0" rank="0" text="" dxfId="0">
      <formula>$B$50</formula>
    </cfRule>
  </conditionalFormatting>
  <conditionalFormatting sqref="B50">
    <cfRule type="cellIs" priority="97" operator="lessThan" aboveAverage="0" equalAverage="0" bottom="0" percent="0" rank="0" text="" dxfId="0">
      <formula>$C$50</formula>
    </cfRule>
  </conditionalFormatting>
  <conditionalFormatting sqref="C49">
    <cfRule type="cellIs" priority="98" operator="lessThan" aboveAverage="0" equalAverage="0" bottom="0" percent="0" rank="0" text="" dxfId="0">
      <formula>$B$49</formula>
    </cfRule>
  </conditionalFormatting>
  <conditionalFormatting sqref="B49">
    <cfRule type="cellIs" priority="99" operator="lessThan" aboveAverage="0" equalAverage="0" bottom="0" percent="0" rank="0" text="" dxfId="0">
      <formula>$C$49</formula>
    </cfRule>
  </conditionalFormatting>
  <conditionalFormatting sqref="C48">
    <cfRule type="cellIs" priority="100" operator="lessThan" aboveAverage="0" equalAverage="0" bottom="0" percent="0" rank="0" text="" dxfId="0">
      <formula>$B$48</formula>
    </cfRule>
  </conditionalFormatting>
  <conditionalFormatting sqref="B48">
    <cfRule type="cellIs" priority="101" operator="lessThan" aboveAverage="0" equalAverage="0" bottom="0" percent="0" rank="0" text="" dxfId="0">
      <formula>$C$48</formula>
    </cfRule>
  </conditionalFormatting>
  <conditionalFormatting sqref="C47">
    <cfRule type="cellIs" priority="102" operator="lessThan" aboveAverage="0" equalAverage="0" bottom="0" percent="0" rank="0" text="" dxfId="0">
      <formula>$B$47</formula>
    </cfRule>
  </conditionalFormatting>
  <conditionalFormatting sqref="B47">
    <cfRule type="cellIs" priority="103" operator="lessThan" aboveAverage="0" equalAverage="0" bottom="0" percent="0" rank="0" text="" dxfId="0">
      <formula>$C$47</formula>
    </cfRule>
  </conditionalFormatting>
  <conditionalFormatting sqref="C46">
    <cfRule type="cellIs" priority="104" operator="lessThan" aboveAverage="0" equalAverage="0" bottom="0" percent="0" rank="0" text="" dxfId="0">
      <formula>$B$46</formula>
    </cfRule>
  </conditionalFormatting>
  <conditionalFormatting sqref="B46">
    <cfRule type="cellIs" priority="105" operator="lessThan" aboveAverage="0" equalAverage="0" bottom="0" percent="0" rank="0" text="" dxfId="0">
      <formula>$C$46</formula>
    </cfRule>
  </conditionalFormatting>
  <conditionalFormatting sqref="C45">
    <cfRule type="cellIs" priority="106" operator="lessThan" aboveAverage="0" equalAverage="0" bottom="0" percent="0" rank="0" text="" dxfId="0">
      <formula>$B$45</formula>
    </cfRule>
  </conditionalFormatting>
  <conditionalFormatting sqref="B45">
    <cfRule type="cellIs" priority="107" operator="lessThan" aboveAverage="0" equalAverage="0" bottom="0" percent="0" rank="0" text="" dxfId="0">
      <formula>$C$45</formula>
    </cfRule>
  </conditionalFormatting>
  <conditionalFormatting sqref="C44">
    <cfRule type="cellIs" priority="108" operator="lessThan" aboveAverage="0" equalAverage="0" bottom="0" percent="0" rank="0" text="" dxfId="0">
      <formula>$B$44</formula>
    </cfRule>
  </conditionalFormatting>
  <conditionalFormatting sqref="B44">
    <cfRule type="cellIs" priority="109" operator="lessThan" aboveAverage="0" equalAverage="0" bottom="0" percent="0" rank="0" text="" dxfId="0">
      <formula>$C$44</formula>
    </cfRule>
  </conditionalFormatting>
  <conditionalFormatting sqref="C43">
    <cfRule type="cellIs" priority="110" operator="lessThan" aboveAverage="0" equalAverage="0" bottom="0" percent="0" rank="0" text="" dxfId="0">
      <formula>$B$43</formula>
    </cfRule>
  </conditionalFormatting>
  <conditionalFormatting sqref="B43">
    <cfRule type="cellIs" priority="111" operator="lessThan" aboveAverage="0" equalAverage="0" bottom="0" percent="0" rank="0" text="" dxfId="0">
      <formula>$C$43</formula>
    </cfRule>
  </conditionalFormatting>
  <conditionalFormatting sqref="C42">
    <cfRule type="cellIs" priority="112" operator="lessThan" aboveAverage="0" equalAverage="0" bottom="0" percent="0" rank="0" text="" dxfId="0">
      <formula>$B$42</formula>
    </cfRule>
  </conditionalFormatting>
  <conditionalFormatting sqref="B42">
    <cfRule type="cellIs" priority="113" operator="lessThan" aboveAverage="0" equalAverage="0" bottom="0" percent="0" rank="0" text="" dxfId="0">
      <formula>$C$42</formula>
    </cfRule>
  </conditionalFormatting>
  <conditionalFormatting sqref="C41">
    <cfRule type="cellIs" priority="114" operator="lessThan" aboveAverage="0" equalAverage="0" bottom="0" percent="0" rank="0" text="" dxfId="0">
      <formula>$B$41</formula>
    </cfRule>
  </conditionalFormatting>
  <conditionalFormatting sqref="B41">
    <cfRule type="cellIs" priority="115" operator="lessThan" aboveAverage="0" equalAverage="0" bottom="0" percent="0" rank="0" text="" dxfId="0">
      <formula>$C$41</formula>
    </cfRule>
  </conditionalFormatting>
  <conditionalFormatting sqref="C40">
    <cfRule type="cellIs" priority="116" operator="lessThan" aboveAverage="0" equalAverage="0" bottom="0" percent="0" rank="0" text="" dxfId="0">
      <formula>$B$40</formula>
    </cfRule>
  </conditionalFormatting>
  <conditionalFormatting sqref="B40">
    <cfRule type="cellIs" priority="117" operator="lessThan" aboveAverage="0" equalAverage="0" bottom="0" percent="0" rank="0" text="" dxfId="0">
      <formula>$C$40</formula>
    </cfRule>
  </conditionalFormatting>
  <conditionalFormatting sqref="C39">
    <cfRule type="cellIs" priority="118" operator="lessThan" aboveAverage="0" equalAverage="0" bottom="0" percent="0" rank="0" text="" dxfId="0">
      <formula>$B$39</formula>
    </cfRule>
  </conditionalFormatting>
  <conditionalFormatting sqref="B39">
    <cfRule type="cellIs" priority="119" operator="lessThan" aboveAverage="0" equalAverage="0" bottom="0" percent="0" rank="0" text="" dxfId="0">
      <formula>$C$39</formula>
    </cfRule>
  </conditionalFormatting>
  <conditionalFormatting sqref="C38">
    <cfRule type="cellIs" priority="120" operator="lessThan" aboveAverage="0" equalAverage="0" bottom="0" percent="0" rank="0" text="" dxfId="0">
      <formula>$B$38</formula>
    </cfRule>
  </conditionalFormatting>
  <conditionalFormatting sqref="B38">
    <cfRule type="cellIs" priority="121" operator="lessThan" aboveAverage="0" equalAverage="0" bottom="0" percent="0" rank="0" text="" dxfId="0">
      <formula>$C$38</formula>
    </cfRule>
  </conditionalFormatting>
  <conditionalFormatting sqref="C37">
    <cfRule type="cellIs" priority="122" operator="lessThan" aboveAverage="0" equalAverage="0" bottom="0" percent="0" rank="0" text="" dxfId="0">
      <formula>$B$37</formula>
    </cfRule>
  </conditionalFormatting>
  <conditionalFormatting sqref="B37">
    <cfRule type="cellIs" priority="123" operator="lessThan" aboveAverage="0" equalAverage="0" bottom="0" percent="0" rank="0" text="" dxfId="0">
      <formula>$C$37</formula>
    </cfRule>
  </conditionalFormatting>
  <conditionalFormatting sqref="C36">
    <cfRule type="cellIs" priority="124" operator="lessThan" aboveAverage="0" equalAverage="0" bottom="0" percent="0" rank="0" text="" dxfId="0">
      <formula>$B$36</formula>
    </cfRule>
  </conditionalFormatting>
  <conditionalFormatting sqref="B36">
    <cfRule type="cellIs" priority="125" operator="lessThan" aboveAverage="0" equalAverage="0" bottom="0" percent="0" rank="0" text="" dxfId="0">
      <formula>$C$36</formula>
    </cfRule>
  </conditionalFormatting>
  <conditionalFormatting sqref="C35">
    <cfRule type="cellIs" priority="126" operator="lessThan" aboveAverage="0" equalAverage="0" bottom="0" percent="0" rank="0" text="" dxfId="0">
      <formula>$B$35</formula>
    </cfRule>
  </conditionalFormatting>
  <conditionalFormatting sqref="B35">
    <cfRule type="cellIs" priority="127" operator="lessThan" aboveAverage="0" equalAverage="0" bottom="0" percent="0" rank="0" text="" dxfId="0">
      <formula>$C$35</formula>
    </cfRule>
  </conditionalFormatting>
  <conditionalFormatting sqref="C34">
    <cfRule type="cellIs" priority="128" operator="lessThan" aboveAverage="0" equalAverage="0" bottom="0" percent="0" rank="0" text="" dxfId="0">
      <formula>$B$34</formula>
    </cfRule>
  </conditionalFormatting>
  <conditionalFormatting sqref="B34">
    <cfRule type="cellIs" priority="129" operator="lessThan" aboveAverage="0" equalAverage="0" bottom="0" percent="0" rank="0" text="" dxfId="0">
      <formula>$C$34</formula>
    </cfRule>
  </conditionalFormatting>
  <conditionalFormatting sqref="C33">
    <cfRule type="cellIs" priority="130" operator="lessThan" aboveAverage="0" equalAverage="0" bottom="0" percent="0" rank="0" text="" dxfId="0">
      <formula>$B$33</formula>
    </cfRule>
  </conditionalFormatting>
  <conditionalFormatting sqref="B33">
    <cfRule type="cellIs" priority="131" operator="lessThan" aboveAverage="0" equalAverage="0" bottom="0" percent="0" rank="0" text="" dxfId="0">
      <formula>$C$33</formula>
    </cfRule>
  </conditionalFormatting>
  <conditionalFormatting sqref="C32">
    <cfRule type="cellIs" priority="132" operator="lessThan" aboveAverage="0" equalAverage="0" bottom="0" percent="0" rank="0" text="" dxfId="0">
      <formula>$B$32</formula>
    </cfRule>
  </conditionalFormatting>
  <conditionalFormatting sqref="B32">
    <cfRule type="cellIs" priority="133" operator="lessThan" aboveAverage="0" equalAverage="0" bottom="0" percent="0" rank="0" text="" dxfId="0">
      <formula>$C$32</formula>
    </cfRule>
  </conditionalFormatting>
  <conditionalFormatting sqref="C31">
    <cfRule type="cellIs" priority="134" operator="lessThan" aboveAverage="0" equalAverage="0" bottom="0" percent="0" rank="0" text="" dxfId="0">
      <formula>$B$31</formula>
    </cfRule>
  </conditionalFormatting>
  <conditionalFormatting sqref="B31">
    <cfRule type="cellIs" priority="135" operator="lessThan" aboveAverage="0" equalAverage="0" bottom="0" percent="0" rank="0" text="" dxfId="0">
      <formula>$C$31</formula>
    </cfRule>
  </conditionalFormatting>
  <conditionalFormatting sqref="C30">
    <cfRule type="cellIs" priority="136" operator="lessThan" aboveAverage="0" equalAverage="0" bottom="0" percent="0" rank="0" text="" dxfId="0">
      <formula>$B$30</formula>
    </cfRule>
  </conditionalFormatting>
  <conditionalFormatting sqref="B30">
    <cfRule type="cellIs" priority="137" operator="lessThan" aboveAverage="0" equalAverage="0" bottom="0" percent="0" rank="0" text="" dxfId="0">
      <formula>$C$30</formula>
    </cfRule>
  </conditionalFormatting>
  <conditionalFormatting sqref="C29">
    <cfRule type="cellIs" priority="138" operator="lessThan" aboveAverage="0" equalAverage="0" bottom="0" percent="0" rank="0" text="" dxfId="0">
      <formula>$B$29</formula>
    </cfRule>
  </conditionalFormatting>
  <conditionalFormatting sqref="B29">
    <cfRule type="cellIs" priority="139" operator="lessThan" aboveAverage="0" equalAverage="0" bottom="0" percent="0" rank="0" text="" dxfId="0">
      <formula>$C$29</formula>
    </cfRule>
  </conditionalFormatting>
  <conditionalFormatting sqref="C28">
    <cfRule type="cellIs" priority="140" operator="lessThan" aboveAverage="0" equalAverage="0" bottom="0" percent="0" rank="0" text="" dxfId="0">
      <formula>$B$28</formula>
    </cfRule>
  </conditionalFormatting>
  <conditionalFormatting sqref="B28">
    <cfRule type="cellIs" priority="141" operator="lessThan" aboveAverage="0" equalAverage="0" bottom="0" percent="0" rank="0" text="" dxfId="0">
      <formula>$C$28</formula>
    </cfRule>
  </conditionalFormatting>
  <conditionalFormatting sqref="C27">
    <cfRule type="cellIs" priority="142" operator="lessThan" aboveAverage="0" equalAverage="0" bottom="0" percent="0" rank="0" text="" dxfId="0">
      <formula>$B$27</formula>
    </cfRule>
  </conditionalFormatting>
  <conditionalFormatting sqref="B27">
    <cfRule type="cellIs" priority="143" operator="lessThan" aboveAverage="0" equalAverage="0" bottom="0" percent="0" rank="0" text="" dxfId="0">
      <formula>$C$27</formula>
    </cfRule>
  </conditionalFormatting>
  <conditionalFormatting sqref="C26">
    <cfRule type="cellIs" priority="144" operator="lessThan" aboveAverage="0" equalAverage="0" bottom="0" percent="0" rank="0" text="" dxfId="0">
      <formula>$B$26</formula>
    </cfRule>
  </conditionalFormatting>
  <conditionalFormatting sqref="B26">
    <cfRule type="cellIs" priority="145" operator="lessThan" aboveAverage="0" equalAverage="0" bottom="0" percent="0" rank="0" text="" dxfId="0">
      <formula>$C$26</formula>
    </cfRule>
  </conditionalFormatting>
  <conditionalFormatting sqref="C25">
    <cfRule type="cellIs" priority="146" operator="lessThan" aboveAverage="0" equalAverage="0" bottom="0" percent="0" rank="0" text="" dxfId="0">
      <formula>$B$25</formula>
    </cfRule>
  </conditionalFormatting>
  <conditionalFormatting sqref="B25">
    <cfRule type="cellIs" priority="147" operator="lessThan" aboveAverage="0" equalAverage="0" bottom="0" percent="0" rank="0" text="" dxfId="0">
      <formula>$C$25</formula>
    </cfRule>
  </conditionalFormatting>
  <conditionalFormatting sqref="C24">
    <cfRule type="cellIs" priority="148" operator="lessThan" aboveAverage="0" equalAverage="0" bottom="0" percent="0" rank="0" text="" dxfId="0">
      <formula>$B$24</formula>
    </cfRule>
  </conditionalFormatting>
  <conditionalFormatting sqref="B24">
    <cfRule type="cellIs" priority="149" operator="lessThan" aboveAverage="0" equalAverage="0" bottom="0" percent="0" rank="0" text="" dxfId="0">
      <formula>$C$24</formula>
    </cfRule>
  </conditionalFormatting>
  <conditionalFormatting sqref="C23">
    <cfRule type="cellIs" priority="150" operator="lessThan" aboveAverage="0" equalAverage="0" bottom="0" percent="0" rank="0" text="" dxfId="0">
      <formula>$B$23</formula>
    </cfRule>
  </conditionalFormatting>
  <conditionalFormatting sqref="B23">
    <cfRule type="cellIs" priority="151" operator="lessThan" aboveAverage="0" equalAverage="0" bottom="0" percent="0" rank="0" text="" dxfId="0">
      <formula>$C$23</formula>
    </cfRule>
  </conditionalFormatting>
  <conditionalFormatting sqref="C22">
    <cfRule type="cellIs" priority="152" operator="lessThan" aboveAverage="0" equalAverage="0" bottom="0" percent="0" rank="0" text="" dxfId="0">
      <formula>$B$22</formula>
    </cfRule>
  </conditionalFormatting>
  <conditionalFormatting sqref="B22">
    <cfRule type="cellIs" priority="153" operator="lessThan" aboveAverage="0" equalAverage="0" bottom="0" percent="0" rank="0" text="" dxfId="0">
      <formula>$C$22</formula>
    </cfRule>
  </conditionalFormatting>
  <conditionalFormatting sqref="C21">
    <cfRule type="cellIs" priority="154" operator="lessThan" aboveAverage="0" equalAverage="0" bottom="0" percent="0" rank="0" text="" dxfId="0">
      <formula>$B$21</formula>
    </cfRule>
  </conditionalFormatting>
  <conditionalFormatting sqref="B21">
    <cfRule type="cellIs" priority="155" operator="lessThan" aboveAverage="0" equalAverage="0" bottom="0" percent="0" rank="0" text="" dxfId="0">
      <formula>$C$21</formula>
    </cfRule>
  </conditionalFormatting>
  <conditionalFormatting sqref="C20">
    <cfRule type="cellIs" priority="156" operator="lessThan" aboveAverage="0" equalAverage="0" bottom="0" percent="0" rank="0" text="" dxfId="0">
      <formula>$B$20</formula>
    </cfRule>
  </conditionalFormatting>
  <conditionalFormatting sqref="B20">
    <cfRule type="cellIs" priority="157" operator="lessThan" aboveAverage="0" equalAverage="0" bottom="0" percent="0" rank="0" text="" dxfId="0">
      <formula>$C$20</formula>
    </cfRule>
  </conditionalFormatting>
  <conditionalFormatting sqref="B19">
    <cfRule type="cellIs" priority="158" operator="lessThan" aboveAverage="0" equalAverage="0" bottom="0" percent="0" rank="0" text="" dxfId="0">
      <formula>$C$19</formula>
    </cfRule>
  </conditionalFormatting>
  <conditionalFormatting sqref="C19">
    <cfRule type="cellIs" priority="159" operator="lessThan" aboveAverage="0" equalAverage="0" bottom="0" percent="0" rank="0" text="" dxfId="0">
      <formula>$B$19</formula>
    </cfRule>
  </conditionalFormatting>
  <conditionalFormatting sqref="C18">
    <cfRule type="cellIs" priority="160" operator="lessThan" aboveAverage="0" equalAverage="0" bottom="0" percent="0" rank="0" text="" dxfId="0">
      <formula>$B$18</formula>
    </cfRule>
  </conditionalFormatting>
  <conditionalFormatting sqref="B18">
    <cfRule type="cellIs" priority="161" operator="lessThan" aboveAverage="0" equalAverage="0" bottom="0" percent="0" rank="0" text="" dxfId="0">
      <formula>$C$18</formula>
    </cfRule>
  </conditionalFormatting>
  <conditionalFormatting sqref="C17">
    <cfRule type="cellIs" priority="162" operator="lessThan" aboveAverage="0" equalAverage="0" bottom="0" percent="0" rank="0" text="" dxfId="0">
      <formula>$B$17</formula>
    </cfRule>
  </conditionalFormatting>
  <conditionalFormatting sqref="B17">
    <cfRule type="cellIs" priority="163" operator="lessThan" aboveAverage="0" equalAverage="0" bottom="0" percent="0" rank="0" text="" dxfId="0">
      <formula>$C$17</formula>
    </cfRule>
  </conditionalFormatting>
  <conditionalFormatting sqref="C16">
    <cfRule type="cellIs" priority="164" operator="lessThan" aboveAverage="0" equalAverage="0" bottom="0" percent="0" rank="0" text="" dxfId="0">
      <formula>$B$16</formula>
    </cfRule>
  </conditionalFormatting>
  <conditionalFormatting sqref="B16">
    <cfRule type="cellIs" priority="165" operator="lessThan" aboveAverage="0" equalAverage="0" bottom="0" percent="0" rank="0" text="" dxfId="0">
      <formula>$C$16</formula>
    </cfRule>
  </conditionalFormatting>
  <conditionalFormatting sqref="C15">
    <cfRule type="cellIs" priority="166" operator="lessThan" aboveAverage="0" equalAverage="0" bottom="0" percent="0" rank="0" text="" dxfId="0">
      <formula>$B$15</formula>
    </cfRule>
  </conditionalFormatting>
  <conditionalFormatting sqref="B15">
    <cfRule type="cellIs" priority="167" operator="lessThan" aboveAverage="0" equalAverage="0" bottom="0" percent="0" rank="0" text="" dxfId="0">
      <formula>$C$15</formula>
    </cfRule>
  </conditionalFormatting>
  <conditionalFormatting sqref="C14">
    <cfRule type="cellIs" priority="168" operator="lessThan" aboveAverage="0" equalAverage="0" bottom="0" percent="0" rank="0" text="" dxfId="0">
      <formula>$B$14</formula>
    </cfRule>
  </conditionalFormatting>
  <conditionalFormatting sqref="B14">
    <cfRule type="cellIs" priority="169" operator="lessThan" aboveAverage="0" equalAverage="0" bottom="0" percent="0" rank="0" text="" dxfId="0">
      <formula>$C$14</formula>
    </cfRule>
  </conditionalFormatting>
  <conditionalFormatting sqref="C13">
    <cfRule type="cellIs" priority="170" operator="lessThan" aboveAverage="0" equalAverage="0" bottom="0" percent="0" rank="0" text="" dxfId="0">
      <formula>$B$13</formula>
    </cfRule>
  </conditionalFormatting>
  <conditionalFormatting sqref="B13">
    <cfRule type="cellIs" priority="171" operator="lessThan" aboveAverage="0" equalAverage="0" bottom="0" percent="0" rank="0" text="" dxfId="0">
      <formula>$C$13</formula>
    </cfRule>
  </conditionalFormatting>
  <conditionalFormatting sqref="C12">
    <cfRule type="cellIs" priority="172" operator="lessThan" aboveAverage="0" equalAverage="0" bottom="0" percent="0" rank="0" text="" dxfId="0">
      <formula>$B$12</formula>
    </cfRule>
  </conditionalFormatting>
  <conditionalFormatting sqref="B12">
    <cfRule type="cellIs" priority="173" operator="lessThan" aboveAverage="0" equalAverage="0" bottom="0" percent="0" rank="0" text="" dxfId="0">
      <formula>$C$12</formula>
    </cfRule>
  </conditionalFormatting>
  <conditionalFormatting sqref="C11">
    <cfRule type="cellIs" priority="174" operator="lessThan" aboveAverage="0" equalAverage="0" bottom="0" percent="0" rank="0" text="" dxfId="0">
      <formula>$B$11</formula>
    </cfRule>
  </conditionalFormatting>
  <conditionalFormatting sqref="B11">
    <cfRule type="cellIs" priority="175" operator="lessThan" aboveAverage="0" equalAverage="0" bottom="0" percent="0" rank="0" text="" dxfId="0">
      <formula>$C$11</formula>
    </cfRule>
  </conditionalFormatting>
  <conditionalFormatting sqref="C10">
    <cfRule type="cellIs" priority="176" operator="lessThan" aboveAverage="0" equalAverage="0" bottom="0" percent="0" rank="0" text="" dxfId="0">
      <formula>$B$10</formula>
    </cfRule>
  </conditionalFormatting>
  <conditionalFormatting sqref="B10">
    <cfRule type="cellIs" priority="177" operator="lessThan" aboveAverage="0" equalAverage="0" bottom="0" percent="0" rank="0" text="" dxfId="0">
      <formula>$C$10</formula>
    </cfRule>
  </conditionalFormatting>
  <conditionalFormatting sqref="C9">
    <cfRule type="cellIs" priority="178" operator="lessThan" aboveAverage="0" equalAverage="0" bottom="0" percent="0" rank="0" text="" dxfId="0">
      <formula>$B$9</formula>
    </cfRule>
  </conditionalFormatting>
  <conditionalFormatting sqref="B9">
    <cfRule type="cellIs" priority="179" operator="lessThan" aboveAverage="0" equalAverage="0" bottom="0" percent="0" rank="0" text="" dxfId="0">
      <formula>$C$9</formula>
    </cfRule>
  </conditionalFormatting>
  <conditionalFormatting sqref="C8">
    <cfRule type="cellIs" priority="180" operator="lessThan" aboveAverage="0" equalAverage="0" bottom="0" percent="0" rank="0" text="" dxfId="0">
      <formula>$B$8</formula>
    </cfRule>
  </conditionalFormatting>
  <conditionalFormatting sqref="B8">
    <cfRule type="cellIs" priority="181" operator="lessThan" aboveAverage="0" equalAverage="0" bottom="0" percent="0" rank="0" text="" dxfId="0">
      <formula>$C$8</formula>
    </cfRule>
  </conditionalFormatting>
  <conditionalFormatting sqref="C7">
    <cfRule type="cellIs" priority="182" operator="lessThan" aboveAverage="0" equalAverage="0" bottom="0" percent="0" rank="0" text="" dxfId="0">
      <formula>$B$7</formula>
    </cfRule>
  </conditionalFormatting>
  <conditionalFormatting sqref="B7">
    <cfRule type="cellIs" priority="183" operator="lessThan" aboveAverage="0" equalAverage="0" bottom="0" percent="0" rank="0" text="" dxfId="0">
      <formula>$C$7</formula>
    </cfRule>
  </conditionalFormatting>
  <conditionalFormatting sqref="C6">
    <cfRule type="cellIs" priority="184" operator="lessThan" aboveAverage="0" equalAverage="0" bottom="0" percent="0" rank="0" text="" dxfId="0">
      <formula>$B$6</formula>
    </cfRule>
  </conditionalFormatting>
  <conditionalFormatting sqref="B6">
    <cfRule type="cellIs" priority="185" operator="lessThan" aboveAverage="0" equalAverage="0" bottom="0" percent="0" rank="0" text="" dxfId="0">
      <formula>$C$6</formula>
    </cfRule>
  </conditionalFormatting>
  <conditionalFormatting sqref="C5">
    <cfRule type="cellIs" priority="186" operator="lessThan" aboveAverage="0" equalAverage="0" bottom="0" percent="0" rank="0" text="" dxfId="0">
      <formula>$B$5</formula>
    </cfRule>
  </conditionalFormatting>
  <conditionalFormatting sqref="B5">
    <cfRule type="cellIs" priority="187" operator="lessThan" aboveAverage="0" equalAverage="0" bottom="0" percent="0" rank="0" text="" dxfId="0">
      <formula>$C$5</formula>
    </cfRule>
  </conditionalFormatting>
  <conditionalFormatting sqref="C4">
    <cfRule type="cellIs" priority="188" operator="lessThan" aboveAverage="0" equalAverage="0" bottom="0" percent="0" rank="0" text="" dxfId="0">
      <formula>$B$4</formula>
    </cfRule>
  </conditionalFormatting>
  <conditionalFormatting sqref="B4">
    <cfRule type="cellIs" priority="189" operator="lessThan" aboveAverage="0" equalAverage="0" bottom="0" percent="0" rank="0" text="" dxfId="0">
      <formula>$C$4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2026-09-01T08:01:24Z</dcterms:created>
  <dc:creator>***</dc:creator>
  <dc:description>Contrôles — Livraison Pomona / TerreAzur du 10/09/2026. Prix de vente à compléter ; marge NON validée. Autorisation humaine actuelle : « Laisser les prix de vente vides : préparer les produits, prix d’achat et quantités, sans annoncer de marge validée. » B, D et E restent vides dans les lignes de saisie. Aucun PV catalogue repris. Source : TerreAzur Midi-Pyrénées, Groupe POMONA, bordereau 7835382996 daté du 10/09/2026. Photos bordereau-terreazur-7835382996-page-1.jpg et bordereau-terreazur-7835382996-page-2.jpg sous donnees/courrier/2026-09-10-Antoine-Parraga/ ; pages 1/2 et 2/2 lues intégralement. 12 lignes produits sur page 1, aucune ligne produit supplémentaire sur page 2. Relecture du JSON facture-terreazur-7835382996.json, contrôles de chaque PU × quantité UF en Decimal. Marchandises HT 752,82 EUR ; 52 colis ; CVE 1,42 EUR séparée, non ajoutée comme produit ; total document HT 754,24 EUR, TVA 41,69 EUR, net à payer 795,93 EUR. F reprend les UF facturées, jamais le poids brut ni le nombre de colis : KG, PU, et 72 SAC pour la sucrine. Les formules sont préservées sans résultats calculés sur la feuille 10 ; des erreurs de division peuvent apparaître tant que les PV sont absents. Aucun import, aucune écriture de faits, aucune validation autonome du stock et aucun envoi. Date de contrôle : 2026-09-10T14:18:54.713562+02:00. Modèle source inchangé : 0926 Calcul marge Pomona.xlsx, SHA-256 3ff13461a398a00d2f00bdcdfe1d492d35c53c8e0a033d7fee0045e796b6210b.</dc:description>
  <dc:language>fr-FR</dc:language>
  <cp:lastModifiedBy>agent-donnees</cp:lastModifiedBy>
  <dcterms:modified xsi:type="dcterms:W3CDTF">2026-09-10T12:18:54Z</dcterms:modified>
  <cp:revision>3</cp:revision>
  <dc:subject/>
  <dc:title>Pomona — Livraison du 10/09/2026 — PV à compléter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