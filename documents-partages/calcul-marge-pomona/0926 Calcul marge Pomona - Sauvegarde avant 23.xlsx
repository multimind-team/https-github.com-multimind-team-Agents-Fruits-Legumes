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0" windowWidth="28275" windowHeight="12060" activeTab="19"/>
  </bookViews>
  <sheets>
    <sheet name="Vierge" sheetId="1" r:id="rId1"/>
    <sheet name="01" sheetId="2" r:id="rId2"/>
    <sheet name="02" sheetId="3" r:id="rId3"/>
    <sheet name="03" sheetId="4" r:id="rId4"/>
    <sheet name="04" sheetId="5" r:id="rId5"/>
    <sheet name="05" sheetId="6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4" sheetId="14" r:id="rId13"/>
    <sheet name="15" sheetId="15" r:id="rId14"/>
    <sheet name="16" sheetId="16" r:id="rId15"/>
    <sheet name="17" sheetId="17" r:id="rId16"/>
    <sheet name="18" sheetId="18" r:id="rId17"/>
    <sheet name="19" sheetId="19" r:id="rId18"/>
    <sheet name="21" sheetId="20" r:id="rId19"/>
    <sheet name="22" sheetId="21" r:id="rId20"/>
  </sheets>
  <calcPr calcId="145621"/>
</workbook>
</file>

<file path=xl/calcChain.xml><?xml version="1.0" encoding="utf-8"?>
<calcChain xmlns="http://schemas.openxmlformats.org/spreadsheetml/2006/main">
  <c r="R51" i="21" l="1"/>
  <c r="N51" i="21"/>
  <c r="O51" i="21" s="1"/>
  <c r="P51" i="21" s="1"/>
  <c r="Q51" i="21" s="1"/>
  <c r="G51" i="21" s="1"/>
  <c r="M51" i="21"/>
  <c r="I51" i="21"/>
  <c r="J51" i="21" s="1"/>
  <c r="K51" i="21" s="1"/>
  <c r="L51" i="21" s="1"/>
  <c r="H51" i="21"/>
  <c r="R50" i="21"/>
  <c r="N50" i="21"/>
  <c r="O50" i="21" s="1"/>
  <c r="P50" i="21" s="1"/>
  <c r="Q50" i="21" s="1"/>
  <c r="G50" i="21" s="1"/>
  <c r="M50" i="21"/>
  <c r="I50" i="21"/>
  <c r="J50" i="21" s="1"/>
  <c r="K50" i="21" s="1"/>
  <c r="L50" i="21" s="1"/>
  <c r="H50" i="21" s="1"/>
  <c r="R49" i="21"/>
  <c r="N49" i="21"/>
  <c r="O49" i="21" s="1"/>
  <c r="P49" i="21" s="1"/>
  <c r="Q49" i="21" s="1"/>
  <c r="G49" i="21" s="1"/>
  <c r="M49" i="21"/>
  <c r="I49" i="21"/>
  <c r="J49" i="21" s="1"/>
  <c r="K49" i="21" s="1"/>
  <c r="L49" i="21" s="1"/>
  <c r="H49" i="21" s="1"/>
  <c r="R48" i="21"/>
  <c r="N48" i="21"/>
  <c r="O48" i="21" s="1"/>
  <c r="P48" i="21" s="1"/>
  <c r="Q48" i="21" s="1"/>
  <c r="G48" i="21" s="1"/>
  <c r="M48" i="21"/>
  <c r="I48" i="21"/>
  <c r="J48" i="21" s="1"/>
  <c r="K48" i="21" s="1"/>
  <c r="L48" i="21" s="1"/>
  <c r="H48" i="21"/>
  <c r="R47" i="21"/>
  <c r="N47" i="21"/>
  <c r="O47" i="21" s="1"/>
  <c r="P47" i="21" s="1"/>
  <c r="Q47" i="21" s="1"/>
  <c r="G47" i="21" s="1"/>
  <c r="M47" i="21"/>
  <c r="I47" i="21"/>
  <c r="J47" i="21" s="1"/>
  <c r="K47" i="21" s="1"/>
  <c r="L47" i="21" s="1"/>
  <c r="H47" i="21" s="1"/>
  <c r="R46" i="21"/>
  <c r="N46" i="21"/>
  <c r="O46" i="21" s="1"/>
  <c r="P46" i="21" s="1"/>
  <c r="Q46" i="21" s="1"/>
  <c r="G46" i="21" s="1"/>
  <c r="M46" i="21"/>
  <c r="I46" i="21"/>
  <c r="J46" i="21" s="1"/>
  <c r="K46" i="21" s="1"/>
  <c r="L46" i="21" s="1"/>
  <c r="H46" i="21" s="1"/>
  <c r="R45" i="21"/>
  <c r="N45" i="21"/>
  <c r="O45" i="21" s="1"/>
  <c r="P45" i="21" s="1"/>
  <c r="Q45" i="21" s="1"/>
  <c r="G45" i="21" s="1"/>
  <c r="M45" i="21"/>
  <c r="I45" i="21"/>
  <c r="J45" i="21" s="1"/>
  <c r="K45" i="21" s="1"/>
  <c r="L45" i="21" s="1"/>
  <c r="H45" i="21" s="1"/>
  <c r="R44" i="21"/>
  <c r="N44" i="21"/>
  <c r="O44" i="21" s="1"/>
  <c r="P44" i="21" s="1"/>
  <c r="Q44" i="21" s="1"/>
  <c r="G44" i="21" s="1"/>
  <c r="M44" i="21"/>
  <c r="I44" i="21"/>
  <c r="J44" i="21" s="1"/>
  <c r="K44" i="21" s="1"/>
  <c r="L44" i="21" s="1"/>
  <c r="H44" i="21" s="1"/>
  <c r="R43" i="21"/>
  <c r="N43" i="21"/>
  <c r="O43" i="21" s="1"/>
  <c r="P43" i="21" s="1"/>
  <c r="Q43" i="21" s="1"/>
  <c r="G43" i="21" s="1"/>
  <c r="M43" i="21"/>
  <c r="I43" i="21"/>
  <c r="J43" i="21" s="1"/>
  <c r="K43" i="21" s="1"/>
  <c r="L43" i="21" s="1"/>
  <c r="H43" i="21" s="1"/>
  <c r="R42" i="21"/>
  <c r="N42" i="21"/>
  <c r="O42" i="21" s="1"/>
  <c r="P42" i="21" s="1"/>
  <c r="Q42" i="21" s="1"/>
  <c r="G42" i="21" s="1"/>
  <c r="M42" i="21"/>
  <c r="I42" i="21"/>
  <c r="J42" i="21" s="1"/>
  <c r="K42" i="21" s="1"/>
  <c r="L42" i="21" s="1"/>
  <c r="H42" i="21"/>
  <c r="R41" i="21"/>
  <c r="N41" i="21"/>
  <c r="O41" i="21" s="1"/>
  <c r="P41" i="21" s="1"/>
  <c r="Q41" i="21" s="1"/>
  <c r="G41" i="21" s="1"/>
  <c r="M41" i="21"/>
  <c r="I41" i="21"/>
  <c r="J41" i="21" s="1"/>
  <c r="K41" i="21" s="1"/>
  <c r="L41" i="21" s="1"/>
  <c r="H41" i="21" s="1"/>
  <c r="R40" i="21"/>
  <c r="N40" i="21"/>
  <c r="O40" i="21" s="1"/>
  <c r="P40" i="21" s="1"/>
  <c r="Q40" i="21" s="1"/>
  <c r="G40" i="21" s="1"/>
  <c r="M40" i="21"/>
  <c r="I40" i="21"/>
  <c r="J40" i="21" s="1"/>
  <c r="K40" i="21" s="1"/>
  <c r="L40" i="21" s="1"/>
  <c r="H40" i="21" s="1"/>
  <c r="R39" i="21"/>
  <c r="N39" i="21"/>
  <c r="O39" i="21" s="1"/>
  <c r="P39" i="21" s="1"/>
  <c r="Q39" i="21" s="1"/>
  <c r="G39" i="21" s="1"/>
  <c r="M39" i="21"/>
  <c r="I39" i="21"/>
  <c r="J39" i="21" s="1"/>
  <c r="K39" i="21" s="1"/>
  <c r="L39" i="21" s="1"/>
  <c r="H39" i="21"/>
  <c r="R38" i="21"/>
  <c r="N38" i="21"/>
  <c r="O38" i="21" s="1"/>
  <c r="P38" i="21" s="1"/>
  <c r="Q38" i="21" s="1"/>
  <c r="G38" i="21" s="1"/>
  <c r="M38" i="21"/>
  <c r="I38" i="21"/>
  <c r="J38" i="21" s="1"/>
  <c r="K38" i="21" s="1"/>
  <c r="L38" i="21" s="1"/>
  <c r="H38" i="21" s="1"/>
  <c r="R37" i="21"/>
  <c r="N37" i="21"/>
  <c r="O37" i="21" s="1"/>
  <c r="P37" i="21" s="1"/>
  <c r="Q37" i="21" s="1"/>
  <c r="G37" i="21" s="1"/>
  <c r="M37" i="21"/>
  <c r="I37" i="21"/>
  <c r="J37" i="21" s="1"/>
  <c r="K37" i="21" s="1"/>
  <c r="L37" i="21" s="1"/>
  <c r="H37" i="21" s="1"/>
  <c r="R36" i="21"/>
  <c r="N36" i="21"/>
  <c r="O36" i="21" s="1"/>
  <c r="P36" i="21" s="1"/>
  <c r="Q36" i="21" s="1"/>
  <c r="G36" i="21" s="1"/>
  <c r="M36" i="21"/>
  <c r="I36" i="21"/>
  <c r="J36" i="21" s="1"/>
  <c r="K36" i="21" s="1"/>
  <c r="L36" i="21" s="1"/>
  <c r="H36" i="21" s="1"/>
  <c r="R35" i="21"/>
  <c r="N35" i="21"/>
  <c r="O35" i="21" s="1"/>
  <c r="P35" i="21" s="1"/>
  <c r="Q35" i="21" s="1"/>
  <c r="G35" i="21" s="1"/>
  <c r="M35" i="21"/>
  <c r="I35" i="21"/>
  <c r="J35" i="21" s="1"/>
  <c r="K35" i="21" s="1"/>
  <c r="L35" i="21" s="1"/>
  <c r="H35" i="21" s="1"/>
  <c r="R34" i="21"/>
  <c r="N34" i="21"/>
  <c r="O34" i="21" s="1"/>
  <c r="P34" i="21" s="1"/>
  <c r="Q34" i="21" s="1"/>
  <c r="G34" i="21" s="1"/>
  <c r="M34" i="21"/>
  <c r="I34" i="21"/>
  <c r="J34" i="21" s="1"/>
  <c r="K34" i="21" s="1"/>
  <c r="L34" i="21" s="1"/>
  <c r="H34" i="21" s="1"/>
  <c r="R33" i="21"/>
  <c r="N33" i="21"/>
  <c r="O33" i="21" s="1"/>
  <c r="P33" i="21" s="1"/>
  <c r="Q33" i="21" s="1"/>
  <c r="G33" i="21" s="1"/>
  <c r="M33" i="21"/>
  <c r="I33" i="21"/>
  <c r="J33" i="21" s="1"/>
  <c r="K33" i="21" s="1"/>
  <c r="L33" i="21" s="1"/>
  <c r="H33" i="21"/>
  <c r="R32" i="21"/>
  <c r="N32" i="21"/>
  <c r="O32" i="21" s="1"/>
  <c r="P32" i="21" s="1"/>
  <c r="Q32" i="21" s="1"/>
  <c r="G32" i="21" s="1"/>
  <c r="M32" i="21"/>
  <c r="I32" i="21"/>
  <c r="J32" i="21" s="1"/>
  <c r="K32" i="21" s="1"/>
  <c r="L32" i="21" s="1"/>
  <c r="H32" i="21" s="1"/>
  <c r="R31" i="21"/>
  <c r="N31" i="21"/>
  <c r="O31" i="21" s="1"/>
  <c r="P31" i="21" s="1"/>
  <c r="Q31" i="21" s="1"/>
  <c r="G31" i="21" s="1"/>
  <c r="M31" i="21"/>
  <c r="I31" i="21"/>
  <c r="J31" i="21" s="1"/>
  <c r="K31" i="21" s="1"/>
  <c r="L31" i="21" s="1"/>
  <c r="H31" i="21" s="1"/>
  <c r="R30" i="21"/>
  <c r="N30" i="21"/>
  <c r="O30" i="21" s="1"/>
  <c r="P30" i="21" s="1"/>
  <c r="Q30" i="21" s="1"/>
  <c r="G30" i="21" s="1"/>
  <c r="M30" i="21"/>
  <c r="I30" i="21"/>
  <c r="J30" i="21" s="1"/>
  <c r="K30" i="21" s="1"/>
  <c r="L30" i="21" s="1"/>
  <c r="H30" i="21"/>
  <c r="R29" i="21"/>
  <c r="N29" i="21"/>
  <c r="O29" i="21" s="1"/>
  <c r="P29" i="21" s="1"/>
  <c r="Q29" i="21" s="1"/>
  <c r="G29" i="21" s="1"/>
  <c r="M29" i="21"/>
  <c r="I29" i="21"/>
  <c r="J29" i="21" s="1"/>
  <c r="K29" i="21" s="1"/>
  <c r="L29" i="21" s="1"/>
  <c r="H29" i="21" s="1"/>
  <c r="R28" i="21"/>
  <c r="N28" i="21"/>
  <c r="O28" i="21" s="1"/>
  <c r="P28" i="21" s="1"/>
  <c r="Q28" i="21" s="1"/>
  <c r="G28" i="21" s="1"/>
  <c r="M28" i="21"/>
  <c r="I28" i="21"/>
  <c r="J28" i="21" s="1"/>
  <c r="K28" i="21" s="1"/>
  <c r="L28" i="21" s="1"/>
  <c r="H28" i="21" s="1"/>
  <c r="R27" i="21"/>
  <c r="N27" i="21"/>
  <c r="O27" i="21" s="1"/>
  <c r="P27" i="21" s="1"/>
  <c r="Q27" i="21" s="1"/>
  <c r="G27" i="21" s="1"/>
  <c r="M27" i="21"/>
  <c r="I27" i="21"/>
  <c r="J27" i="21" s="1"/>
  <c r="K27" i="21" s="1"/>
  <c r="L27" i="21" s="1"/>
  <c r="H27" i="21" s="1"/>
  <c r="R26" i="21"/>
  <c r="N26" i="21"/>
  <c r="O26" i="21" s="1"/>
  <c r="P26" i="21" s="1"/>
  <c r="Q26" i="21" s="1"/>
  <c r="G26" i="21" s="1"/>
  <c r="M26" i="21"/>
  <c r="I26" i="21"/>
  <c r="J26" i="21" s="1"/>
  <c r="K26" i="21" s="1"/>
  <c r="L26" i="21" s="1"/>
  <c r="H26" i="21" s="1"/>
  <c r="R25" i="21"/>
  <c r="N25" i="21"/>
  <c r="O25" i="21" s="1"/>
  <c r="P25" i="21" s="1"/>
  <c r="Q25" i="21" s="1"/>
  <c r="G25" i="21" s="1"/>
  <c r="M25" i="21"/>
  <c r="I25" i="21"/>
  <c r="J25" i="21" s="1"/>
  <c r="K25" i="21" s="1"/>
  <c r="L25" i="21" s="1"/>
  <c r="H25" i="21" s="1"/>
  <c r="R24" i="21"/>
  <c r="N24" i="21"/>
  <c r="O24" i="21" s="1"/>
  <c r="P24" i="21" s="1"/>
  <c r="Q24" i="21" s="1"/>
  <c r="G24" i="21" s="1"/>
  <c r="M24" i="21"/>
  <c r="I24" i="21"/>
  <c r="J24" i="21" s="1"/>
  <c r="K24" i="21" s="1"/>
  <c r="L24" i="21" s="1"/>
  <c r="H24" i="21"/>
  <c r="R23" i="21"/>
  <c r="N23" i="21"/>
  <c r="O23" i="21" s="1"/>
  <c r="P23" i="21" s="1"/>
  <c r="Q23" i="21" s="1"/>
  <c r="G23" i="21" s="1"/>
  <c r="M23" i="21"/>
  <c r="I23" i="21"/>
  <c r="J23" i="21" s="1"/>
  <c r="K23" i="21" s="1"/>
  <c r="L23" i="21" s="1"/>
  <c r="H23" i="21" s="1"/>
  <c r="R22" i="21"/>
  <c r="N22" i="21"/>
  <c r="O22" i="21" s="1"/>
  <c r="P22" i="21" s="1"/>
  <c r="Q22" i="21" s="1"/>
  <c r="G22" i="21" s="1"/>
  <c r="M22" i="21"/>
  <c r="I22" i="21"/>
  <c r="J22" i="21" s="1"/>
  <c r="K22" i="21" s="1"/>
  <c r="L22" i="21" s="1"/>
  <c r="H22" i="21" s="1"/>
  <c r="R21" i="21"/>
  <c r="N21" i="21"/>
  <c r="O21" i="21" s="1"/>
  <c r="P21" i="21" s="1"/>
  <c r="Q21" i="21" s="1"/>
  <c r="G21" i="21" s="1"/>
  <c r="M21" i="21"/>
  <c r="I21" i="21"/>
  <c r="J21" i="21" s="1"/>
  <c r="K21" i="21" s="1"/>
  <c r="L21" i="21" s="1"/>
  <c r="H21" i="21"/>
  <c r="R20" i="21"/>
  <c r="N20" i="21"/>
  <c r="O20" i="21" s="1"/>
  <c r="P20" i="21" s="1"/>
  <c r="Q20" i="21" s="1"/>
  <c r="G20" i="21" s="1"/>
  <c r="M20" i="21"/>
  <c r="I20" i="21"/>
  <c r="J20" i="21" s="1"/>
  <c r="K20" i="21" s="1"/>
  <c r="L20" i="21" s="1"/>
  <c r="H20" i="21" s="1"/>
  <c r="R19" i="21"/>
  <c r="N19" i="21"/>
  <c r="O19" i="21" s="1"/>
  <c r="P19" i="21" s="1"/>
  <c r="Q19" i="21" s="1"/>
  <c r="G19" i="21" s="1"/>
  <c r="M19" i="21"/>
  <c r="I19" i="21"/>
  <c r="J19" i="21" s="1"/>
  <c r="K19" i="21" s="1"/>
  <c r="L19" i="21" s="1"/>
  <c r="H19" i="21" s="1"/>
  <c r="R18" i="21"/>
  <c r="N18" i="21"/>
  <c r="O18" i="21" s="1"/>
  <c r="P18" i="21" s="1"/>
  <c r="Q18" i="21" s="1"/>
  <c r="G18" i="21" s="1"/>
  <c r="M18" i="21"/>
  <c r="I18" i="21"/>
  <c r="J18" i="21" s="1"/>
  <c r="K18" i="21" s="1"/>
  <c r="L18" i="21" s="1"/>
  <c r="H18" i="21" s="1"/>
  <c r="R17" i="21"/>
  <c r="N17" i="21"/>
  <c r="O17" i="21" s="1"/>
  <c r="P17" i="21" s="1"/>
  <c r="Q17" i="21" s="1"/>
  <c r="G17" i="21" s="1"/>
  <c r="M17" i="21"/>
  <c r="I17" i="21"/>
  <c r="J17" i="21" s="1"/>
  <c r="K17" i="21" s="1"/>
  <c r="L17" i="21" s="1"/>
  <c r="H17" i="21" s="1"/>
  <c r="R16" i="21"/>
  <c r="N16" i="21"/>
  <c r="O16" i="21" s="1"/>
  <c r="P16" i="21" s="1"/>
  <c r="Q16" i="21" s="1"/>
  <c r="G16" i="21" s="1"/>
  <c r="M16" i="21"/>
  <c r="I16" i="21"/>
  <c r="J16" i="21" s="1"/>
  <c r="K16" i="21" s="1"/>
  <c r="L16" i="21" s="1"/>
  <c r="H16" i="21" s="1"/>
  <c r="R15" i="21"/>
  <c r="N15" i="21"/>
  <c r="O15" i="21" s="1"/>
  <c r="P15" i="21" s="1"/>
  <c r="Q15" i="21" s="1"/>
  <c r="G15" i="21" s="1"/>
  <c r="M15" i="21"/>
  <c r="I15" i="21"/>
  <c r="J15" i="21" s="1"/>
  <c r="K15" i="21" s="1"/>
  <c r="L15" i="21" s="1"/>
  <c r="H15" i="21" s="1"/>
  <c r="R14" i="21"/>
  <c r="O14" i="21"/>
  <c r="P14" i="21" s="1"/>
  <c r="Q14" i="21" s="1"/>
  <c r="G14" i="21" s="1"/>
  <c r="N14" i="21"/>
  <c r="M14" i="21"/>
  <c r="I14" i="21"/>
  <c r="J14" i="21" s="1"/>
  <c r="K14" i="21" s="1"/>
  <c r="L14" i="21" s="1"/>
  <c r="H14" i="21"/>
  <c r="R13" i="21"/>
  <c r="N13" i="21"/>
  <c r="O13" i="21" s="1"/>
  <c r="P13" i="21" s="1"/>
  <c r="Q13" i="21" s="1"/>
  <c r="M13" i="21"/>
  <c r="I13" i="21"/>
  <c r="J13" i="21" s="1"/>
  <c r="K13" i="21" s="1"/>
  <c r="L13" i="21" s="1"/>
  <c r="R12" i="21"/>
  <c r="N12" i="21"/>
  <c r="O12" i="21" s="1"/>
  <c r="P12" i="21" s="1"/>
  <c r="Q12" i="21" s="1"/>
  <c r="M12" i="21"/>
  <c r="I12" i="21"/>
  <c r="J12" i="21" s="1"/>
  <c r="K12" i="21" s="1"/>
  <c r="L12" i="21" s="1"/>
  <c r="R11" i="21"/>
  <c r="N11" i="21"/>
  <c r="O11" i="21" s="1"/>
  <c r="P11" i="21" s="1"/>
  <c r="Q11" i="21" s="1"/>
  <c r="G11" i="21" s="1"/>
  <c r="M11" i="21"/>
  <c r="I11" i="21"/>
  <c r="J11" i="21" s="1"/>
  <c r="K11" i="21" s="1"/>
  <c r="L11" i="21" s="1"/>
  <c r="H11" i="21" s="1"/>
  <c r="R10" i="21"/>
  <c r="N10" i="21"/>
  <c r="O10" i="21" s="1"/>
  <c r="P10" i="21" s="1"/>
  <c r="Q10" i="21" s="1"/>
  <c r="G10" i="21" s="1"/>
  <c r="M10" i="21"/>
  <c r="I10" i="21"/>
  <c r="J10" i="21" s="1"/>
  <c r="K10" i="21" s="1"/>
  <c r="L10" i="21" s="1"/>
  <c r="H10" i="21" s="1"/>
  <c r="R9" i="21"/>
  <c r="N9" i="21"/>
  <c r="O9" i="21" s="1"/>
  <c r="P9" i="21" s="1"/>
  <c r="Q9" i="21" s="1"/>
  <c r="M9" i="21"/>
  <c r="I9" i="21"/>
  <c r="J9" i="21" s="1"/>
  <c r="K9" i="21" s="1"/>
  <c r="L9" i="21" s="1"/>
  <c r="H9" i="21" s="1"/>
  <c r="R8" i="21"/>
  <c r="N8" i="21"/>
  <c r="O8" i="21" s="1"/>
  <c r="P8" i="21" s="1"/>
  <c r="Q8" i="21" s="1"/>
  <c r="G8" i="21" s="1"/>
  <c r="M8" i="21"/>
  <c r="I8" i="21"/>
  <c r="J8" i="21" s="1"/>
  <c r="K8" i="21" s="1"/>
  <c r="L8" i="21" s="1"/>
  <c r="R7" i="21"/>
  <c r="N7" i="21"/>
  <c r="O7" i="21" s="1"/>
  <c r="P7" i="21" s="1"/>
  <c r="Q7" i="21" s="1"/>
  <c r="G7" i="21" s="1"/>
  <c r="M7" i="21"/>
  <c r="I7" i="21"/>
  <c r="J7" i="21" s="1"/>
  <c r="K7" i="21" s="1"/>
  <c r="L7" i="21" s="1"/>
  <c r="H7" i="21" s="1"/>
  <c r="R6" i="21"/>
  <c r="N6" i="21"/>
  <c r="O6" i="21" s="1"/>
  <c r="P6" i="21" s="1"/>
  <c r="Q6" i="21" s="1"/>
  <c r="G6" i="21" s="1"/>
  <c r="M6" i="21"/>
  <c r="I6" i="21"/>
  <c r="J6" i="21" s="1"/>
  <c r="K6" i="21" s="1"/>
  <c r="L6" i="21" s="1"/>
  <c r="R5" i="21"/>
  <c r="N5" i="21"/>
  <c r="O5" i="21" s="1"/>
  <c r="M5" i="21"/>
  <c r="I5" i="21"/>
  <c r="J5" i="21" s="1"/>
  <c r="K5" i="21" s="1"/>
  <c r="L5" i="21" s="1"/>
  <c r="H5" i="21" s="1"/>
  <c r="R4" i="21"/>
  <c r="O4" i="21"/>
  <c r="P4" i="21" s="1"/>
  <c r="N4" i="21"/>
  <c r="M4" i="21"/>
  <c r="I4" i="21"/>
  <c r="J4" i="21" s="1"/>
  <c r="F1" i="21"/>
  <c r="E1" i="21"/>
  <c r="D1" i="21"/>
  <c r="C1" i="21"/>
  <c r="B1" i="21"/>
  <c r="H13" i="21" l="1"/>
  <c r="H12" i="21"/>
  <c r="G12" i="21"/>
  <c r="H8" i="21"/>
  <c r="G9" i="21"/>
  <c r="G1" i="21"/>
  <c r="G13" i="21"/>
  <c r="H6" i="21"/>
  <c r="M3" i="21"/>
  <c r="R3" i="21"/>
  <c r="K4" i="21"/>
  <c r="J3" i="21"/>
  <c r="O3" i="21"/>
  <c r="Q4" i="21"/>
  <c r="N3" i="21"/>
  <c r="P5" i="21"/>
  <c r="Q5" i="21" s="1"/>
  <c r="G5" i="21" s="1"/>
  <c r="I3" i="21"/>
  <c r="R51" i="20"/>
  <c r="N51" i="20"/>
  <c r="O51" i="20" s="1"/>
  <c r="P51" i="20" s="1"/>
  <c r="Q51" i="20" s="1"/>
  <c r="G51" i="20" s="1"/>
  <c r="M51" i="20"/>
  <c r="I51" i="20"/>
  <c r="J51" i="20" s="1"/>
  <c r="K51" i="20" s="1"/>
  <c r="L51" i="20" s="1"/>
  <c r="H51" i="20" s="1"/>
  <c r="R50" i="20"/>
  <c r="N50" i="20"/>
  <c r="O50" i="20" s="1"/>
  <c r="P50" i="20" s="1"/>
  <c r="Q50" i="20" s="1"/>
  <c r="G50" i="20" s="1"/>
  <c r="M50" i="20"/>
  <c r="I50" i="20"/>
  <c r="J50" i="20" s="1"/>
  <c r="K50" i="20" s="1"/>
  <c r="L50" i="20" s="1"/>
  <c r="H50" i="20" s="1"/>
  <c r="R49" i="20"/>
  <c r="N49" i="20"/>
  <c r="O49" i="20" s="1"/>
  <c r="P49" i="20" s="1"/>
  <c r="Q49" i="20" s="1"/>
  <c r="G49" i="20" s="1"/>
  <c r="M49" i="20"/>
  <c r="I49" i="20"/>
  <c r="J49" i="20" s="1"/>
  <c r="K49" i="20" s="1"/>
  <c r="L49" i="20" s="1"/>
  <c r="H49" i="20" s="1"/>
  <c r="R48" i="20"/>
  <c r="N48" i="20"/>
  <c r="O48" i="20" s="1"/>
  <c r="P48" i="20" s="1"/>
  <c r="Q48" i="20" s="1"/>
  <c r="G48" i="20" s="1"/>
  <c r="M48" i="20"/>
  <c r="I48" i="20"/>
  <c r="J48" i="20" s="1"/>
  <c r="K48" i="20" s="1"/>
  <c r="L48" i="20" s="1"/>
  <c r="H48" i="20" s="1"/>
  <c r="R47" i="20"/>
  <c r="N47" i="20"/>
  <c r="O47" i="20" s="1"/>
  <c r="P47" i="20" s="1"/>
  <c r="Q47" i="20" s="1"/>
  <c r="G47" i="20" s="1"/>
  <c r="M47" i="20"/>
  <c r="I47" i="20"/>
  <c r="J47" i="20" s="1"/>
  <c r="K47" i="20" s="1"/>
  <c r="L47" i="20" s="1"/>
  <c r="H47" i="20" s="1"/>
  <c r="R46" i="20"/>
  <c r="N46" i="20"/>
  <c r="O46" i="20" s="1"/>
  <c r="P46" i="20" s="1"/>
  <c r="Q46" i="20" s="1"/>
  <c r="G46" i="20" s="1"/>
  <c r="M46" i="20"/>
  <c r="I46" i="20"/>
  <c r="J46" i="20" s="1"/>
  <c r="K46" i="20" s="1"/>
  <c r="L46" i="20" s="1"/>
  <c r="H46" i="20" s="1"/>
  <c r="R45" i="20"/>
  <c r="N45" i="20"/>
  <c r="O45" i="20" s="1"/>
  <c r="P45" i="20" s="1"/>
  <c r="Q45" i="20" s="1"/>
  <c r="G45" i="20" s="1"/>
  <c r="M45" i="20"/>
  <c r="I45" i="20"/>
  <c r="J45" i="20" s="1"/>
  <c r="K45" i="20" s="1"/>
  <c r="L45" i="20" s="1"/>
  <c r="H45" i="20" s="1"/>
  <c r="R44" i="20"/>
  <c r="N44" i="20"/>
  <c r="O44" i="20" s="1"/>
  <c r="P44" i="20" s="1"/>
  <c r="Q44" i="20" s="1"/>
  <c r="G44" i="20" s="1"/>
  <c r="M44" i="20"/>
  <c r="I44" i="20"/>
  <c r="J44" i="20" s="1"/>
  <c r="K44" i="20" s="1"/>
  <c r="L44" i="20" s="1"/>
  <c r="H44" i="20" s="1"/>
  <c r="R43" i="20"/>
  <c r="N43" i="20"/>
  <c r="O43" i="20" s="1"/>
  <c r="P43" i="20" s="1"/>
  <c r="Q43" i="20" s="1"/>
  <c r="G43" i="20" s="1"/>
  <c r="M43" i="20"/>
  <c r="I43" i="20"/>
  <c r="J43" i="20" s="1"/>
  <c r="K43" i="20" s="1"/>
  <c r="L43" i="20" s="1"/>
  <c r="H43" i="20" s="1"/>
  <c r="R42" i="20"/>
  <c r="N42" i="20"/>
  <c r="O42" i="20" s="1"/>
  <c r="P42" i="20" s="1"/>
  <c r="Q42" i="20" s="1"/>
  <c r="G42" i="20" s="1"/>
  <c r="M42" i="20"/>
  <c r="I42" i="20"/>
  <c r="J42" i="20" s="1"/>
  <c r="K42" i="20" s="1"/>
  <c r="L42" i="20" s="1"/>
  <c r="H42" i="20" s="1"/>
  <c r="R41" i="20"/>
  <c r="N41" i="20"/>
  <c r="O41" i="20" s="1"/>
  <c r="P41" i="20" s="1"/>
  <c r="Q41" i="20" s="1"/>
  <c r="G41" i="20" s="1"/>
  <c r="M41" i="20"/>
  <c r="I41" i="20"/>
  <c r="J41" i="20" s="1"/>
  <c r="K41" i="20" s="1"/>
  <c r="L41" i="20" s="1"/>
  <c r="H41" i="20" s="1"/>
  <c r="R40" i="20"/>
  <c r="N40" i="20"/>
  <c r="O40" i="20" s="1"/>
  <c r="P40" i="20" s="1"/>
  <c r="Q40" i="20" s="1"/>
  <c r="G40" i="20" s="1"/>
  <c r="M40" i="20"/>
  <c r="I40" i="20"/>
  <c r="J40" i="20" s="1"/>
  <c r="K40" i="20" s="1"/>
  <c r="L40" i="20" s="1"/>
  <c r="H40" i="20" s="1"/>
  <c r="R39" i="20"/>
  <c r="N39" i="20"/>
  <c r="O39" i="20" s="1"/>
  <c r="P39" i="20" s="1"/>
  <c r="Q39" i="20" s="1"/>
  <c r="G39" i="20" s="1"/>
  <c r="M39" i="20"/>
  <c r="I39" i="20"/>
  <c r="J39" i="20" s="1"/>
  <c r="K39" i="20" s="1"/>
  <c r="L39" i="20" s="1"/>
  <c r="H39" i="20" s="1"/>
  <c r="R38" i="20"/>
  <c r="N38" i="20"/>
  <c r="O38" i="20" s="1"/>
  <c r="P38" i="20" s="1"/>
  <c r="Q38" i="20" s="1"/>
  <c r="G38" i="20" s="1"/>
  <c r="M38" i="20"/>
  <c r="I38" i="20"/>
  <c r="J38" i="20" s="1"/>
  <c r="K38" i="20" s="1"/>
  <c r="L38" i="20" s="1"/>
  <c r="H38" i="20" s="1"/>
  <c r="R37" i="20"/>
  <c r="N37" i="20"/>
  <c r="O37" i="20" s="1"/>
  <c r="P37" i="20" s="1"/>
  <c r="Q37" i="20" s="1"/>
  <c r="G37" i="20" s="1"/>
  <c r="M37" i="20"/>
  <c r="I37" i="20"/>
  <c r="J37" i="20" s="1"/>
  <c r="K37" i="20" s="1"/>
  <c r="L37" i="20" s="1"/>
  <c r="H37" i="20" s="1"/>
  <c r="R36" i="20"/>
  <c r="N36" i="20"/>
  <c r="O36" i="20" s="1"/>
  <c r="P36" i="20" s="1"/>
  <c r="Q36" i="20" s="1"/>
  <c r="G36" i="20" s="1"/>
  <c r="M36" i="20"/>
  <c r="I36" i="20"/>
  <c r="J36" i="20" s="1"/>
  <c r="K36" i="20" s="1"/>
  <c r="L36" i="20" s="1"/>
  <c r="H36" i="20" s="1"/>
  <c r="R35" i="20"/>
  <c r="N35" i="20"/>
  <c r="O35" i="20" s="1"/>
  <c r="P35" i="20" s="1"/>
  <c r="Q35" i="20" s="1"/>
  <c r="G35" i="20" s="1"/>
  <c r="M35" i="20"/>
  <c r="I35" i="20"/>
  <c r="J35" i="20" s="1"/>
  <c r="K35" i="20" s="1"/>
  <c r="L35" i="20" s="1"/>
  <c r="H35" i="20" s="1"/>
  <c r="R34" i="20"/>
  <c r="N34" i="20"/>
  <c r="O34" i="20" s="1"/>
  <c r="P34" i="20" s="1"/>
  <c r="Q34" i="20" s="1"/>
  <c r="G34" i="20" s="1"/>
  <c r="M34" i="20"/>
  <c r="I34" i="20"/>
  <c r="J34" i="20" s="1"/>
  <c r="K34" i="20" s="1"/>
  <c r="L34" i="20" s="1"/>
  <c r="H34" i="20" s="1"/>
  <c r="R33" i="20"/>
  <c r="N33" i="20"/>
  <c r="O33" i="20" s="1"/>
  <c r="P33" i="20" s="1"/>
  <c r="Q33" i="20" s="1"/>
  <c r="G33" i="20" s="1"/>
  <c r="M33" i="20"/>
  <c r="I33" i="20"/>
  <c r="J33" i="20" s="1"/>
  <c r="K33" i="20" s="1"/>
  <c r="L33" i="20" s="1"/>
  <c r="H33" i="20" s="1"/>
  <c r="R32" i="20"/>
  <c r="N32" i="20"/>
  <c r="O32" i="20" s="1"/>
  <c r="P32" i="20" s="1"/>
  <c r="Q32" i="20" s="1"/>
  <c r="G32" i="20" s="1"/>
  <c r="M32" i="20"/>
  <c r="I32" i="20"/>
  <c r="J32" i="20" s="1"/>
  <c r="K32" i="20" s="1"/>
  <c r="L32" i="20" s="1"/>
  <c r="H32" i="20" s="1"/>
  <c r="R31" i="20"/>
  <c r="N31" i="20"/>
  <c r="O31" i="20" s="1"/>
  <c r="P31" i="20" s="1"/>
  <c r="Q31" i="20" s="1"/>
  <c r="G31" i="20" s="1"/>
  <c r="M31" i="20"/>
  <c r="I31" i="20"/>
  <c r="J31" i="20" s="1"/>
  <c r="K31" i="20" s="1"/>
  <c r="L31" i="20" s="1"/>
  <c r="H31" i="20" s="1"/>
  <c r="R30" i="20"/>
  <c r="N30" i="20"/>
  <c r="O30" i="20" s="1"/>
  <c r="P30" i="20" s="1"/>
  <c r="Q30" i="20" s="1"/>
  <c r="G30" i="20" s="1"/>
  <c r="M30" i="20"/>
  <c r="I30" i="20"/>
  <c r="J30" i="20" s="1"/>
  <c r="K30" i="20" s="1"/>
  <c r="L30" i="20" s="1"/>
  <c r="H30" i="20" s="1"/>
  <c r="R29" i="20"/>
  <c r="N29" i="20"/>
  <c r="O29" i="20" s="1"/>
  <c r="P29" i="20" s="1"/>
  <c r="Q29" i="20" s="1"/>
  <c r="G29" i="20" s="1"/>
  <c r="M29" i="20"/>
  <c r="I29" i="20"/>
  <c r="J29" i="20" s="1"/>
  <c r="K29" i="20" s="1"/>
  <c r="L29" i="20" s="1"/>
  <c r="H29" i="20" s="1"/>
  <c r="R28" i="20"/>
  <c r="N28" i="20"/>
  <c r="O28" i="20" s="1"/>
  <c r="P28" i="20" s="1"/>
  <c r="Q28" i="20" s="1"/>
  <c r="G28" i="20" s="1"/>
  <c r="M28" i="20"/>
  <c r="I28" i="20"/>
  <c r="J28" i="20" s="1"/>
  <c r="K28" i="20" s="1"/>
  <c r="L28" i="20" s="1"/>
  <c r="H28" i="20" s="1"/>
  <c r="R27" i="20"/>
  <c r="N27" i="20"/>
  <c r="O27" i="20" s="1"/>
  <c r="P27" i="20" s="1"/>
  <c r="Q27" i="20" s="1"/>
  <c r="G27" i="20" s="1"/>
  <c r="M27" i="20"/>
  <c r="I27" i="20"/>
  <c r="J27" i="20" s="1"/>
  <c r="K27" i="20" s="1"/>
  <c r="L27" i="20" s="1"/>
  <c r="H27" i="20" s="1"/>
  <c r="R26" i="20"/>
  <c r="N26" i="20"/>
  <c r="O26" i="20" s="1"/>
  <c r="P26" i="20" s="1"/>
  <c r="Q26" i="20" s="1"/>
  <c r="G26" i="20" s="1"/>
  <c r="M26" i="20"/>
  <c r="I26" i="20"/>
  <c r="J26" i="20" s="1"/>
  <c r="K26" i="20" s="1"/>
  <c r="L26" i="20" s="1"/>
  <c r="H26" i="20" s="1"/>
  <c r="R25" i="20"/>
  <c r="N25" i="20"/>
  <c r="O25" i="20" s="1"/>
  <c r="P25" i="20" s="1"/>
  <c r="Q25" i="20" s="1"/>
  <c r="G25" i="20" s="1"/>
  <c r="M25" i="20"/>
  <c r="I25" i="20"/>
  <c r="J25" i="20" s="1"/>
  <c r="K25" i="20" s="1"/>
  <c r="L25" i="20" s="1"/>
  <c r="H25" i="20" s="1"/>
  <c r="R24" i="20"/>
  <c r="N24" i="20"/>
  <c r="O24" i="20" s="1"/>
  <c r="P24" i="20" s="1"/>
  <c r="Q24" i="20" s="1"/>
  <c r="G24" i="20" s="1"/>
  <c r="M24" i="20"/>
  <c r="I24" i="20"/>
  <c r="J24" i="20" s="1"/>
  <c r="K24" i="20" s="1"/>
  <c r="L24" i="20" s="1"/>
  <c r="H24" i="20" s="1"/>
  <c r="R23" i="20"/>
  <c r="N23" i="20"/>
  <c r="O23" i="20" s="1"/>
  <c r="P23" i="20" s="1"/>
  <c r="Q23" i="20" s="1"/>
  <c r="G23" i="20" s="1"/>
  <c r="M23" i="20"/>
  <c r="I23" i="20"/>
  <c r="J23" i="20" s="1"/>
  <c r="K23" i="20" s="1"/>
  <c r="L23" i="20" s="1"/>
  <c r="H23" i="20" s="1"/>
  <c r="R22" i="20"/>
  <c r="N22" i="20"/>
  <c r="O22" i="20" s="1"/>
  <c r="P22" i="20" s="1"/>
  <c r="Q22" i="20" s="1"/>
  <c r="G22" i="20" s="1"/>
  <c r="M22" i="20"/>
  <c r="I22" i="20"/>
  <c r="J22" i="20" s="1"/>
  <c r="K22" i="20" s="1"/>
  <c r="L22" i="20" s="1"/>
  <c r="H22" i="20" s="1"/>
  <c r="R21" i="20"/>
  <c r="N21" i="20"/>
  <c r="O21" i="20" s="1"/>
  <c r="P21" i="20" s="1"/>
  <c r="Q21" i="20" s="1"/>
  <c r="G21" i="20" s="1"/>
  <c r="M21" i="20"/>
  <c r="I21" i="20"/>
  <c r="J21" i="20" s="1"/>
  <c r="K21" i="20" s="1"/>
  <c r="L21" i="20" s="1"/>
  <c r="H21" i="20" s="1"/>
  <c r="R20" i="20"/>
  <c r="N20" i="20"/>
  <c r="O20" i="20" s="1"/>
  <c r="P20" i="20" s="1"/>
  <c r="Q20" i="20" s="1"/>
  <c r="G20" i="20" s="1"/>
  <c r="M20" i="20"/>
  <c r="I20" i="20"/>
  <c r="J20" i="20" s="1"/>
  <c r="K20" i="20" s="1"/>
  <c r="L20" i="20" s="1"/>
  <c r="H20" i="20"/>
  <c r="R19" i="20"/>
  <c r="N19" i="20"/>
  <c r="O19" i="20" s="1"/>
  <c r="P19" i="20" s="1"/>
  <c r="Q19" i="20" s="1"/>
  <c r="G19" i="20" s="1"/>
  <c r="M19" i="20"/>
  <c r="I19" i="20"/>
  <c r="J19" i="20" s="1"/>
  <c r="K19" i="20" s="1"/>
  <c r="L19" i="20" s="1"/>
  <c r="H19" i="20"/>
  <c r="R18" i="20"/>
  <c r="N18" i="20"/>
  <c r="O18" i="20" s="1"/>
  <c r="P18" i="20" s="1"/>
  <c r="Q18" i="20" s="1"/>
  <c r="G18" i="20" s="1"/>
  <c r="M18" i="20"/>
  <c r="I18" i="20"/>
  <c r="J18" i="20" s="1"/>
  <c r="K18" i="20" s="1"/>
  <c r="L18" i="20" s="1"/>
  <c r="H18" i="20"/>
  <c r="R17" i="20"/>
  <c r="N17" i="20"/>
  <c r="O17" i="20" s="1"/>
  <c r="P17" i="20" s="1"/>
  <c r="Q17" i="20" s="1"/>
  <c r="G17" i="20" s="1"/>
  <c r="M17" i="20"/>
  <c r="I17" i="20"/>
  <c r="J17" i="20" s="1"/>
  <c r="K17" i="20" s="1"/>
  <c r="L17" i="20" s="1"/>
  <c r="H17" i="20"/>
  <c r="R16" i="20"/>
  <c r="N16" i="20"/>
  <c r="O16" i="20" s="1"/>
  <c r="P16" i="20" s="1"/>
  <c r="Q16" i="20" s="1"/>
  <c r="G16" i="20" s="1"/>
  <c r="M16" i="20"/>
  <c r="I16" i="20"/>
  <c r="J16" i="20" s="1"/>
  <c r="K16" i="20" s="1"/>
  <c r="L16" i="20" s="1"/>
  <c r="H16" i="20" s="1"/>
  <c r="R15" i="20"/>
  <c r="N15" i="20"/>
  <c r="O15" i="20" s="1"/>
  <c r="P15" i="20" s="1"/>
  <c r="Q15" i="20" s="1"/>
  <c r="G15" i="20" s="1"/>
  <c r="M15" i="20"/>
  <c r="I15" i="20"/>
  <c r="J15" i="20" s="1"/>
  <c r="K15" i="20" s="1"/>
  <c r="L15" i="20" s="1"/>
  <c r="H15" i="20" s="1"/>
  <c r="R14" i="20"/>
  <c r="N14" i="20"/>
  <c r="O14" i="20" s="1"/>
  <c r="P14" i="20" s="1"/>
  <c r="Q14" i="20" s="1"/>
  <c r="G14" i="20" s="1"/>
  <c r="M14" i="20"/>
  <c r="I14" i="20"/>
  <c r="J14" i="20" s="1"/>
  <c r="K14" i="20" s="1"/>
  <c r="L14" i="20" s="1"/>
  <c r="H14" i="20"/>
  <c r="R13" i="20"/>
  <c r="N13" i="20"/>
  <c r="O13" i="20" s="1"/>
  <c r="P13" i="20" s="1"/>
  <c r="Q13" i="20" s="1"/>
  <c r="G13" i="20" s="1"/>
  <c r="M13" i="20"/>
  <c r="I13" i="20"/>
  <c r="J13" i="20" s="1"/>
  <c r="K13" i="20" s="1"/>
  <c r="L13" i="20" s="1"/>
  <c r="H13" i="20"/>
  <c r="R12" i="20"/>
  <c r="N12" i="20"/>
  <c r="O12" i="20" s="1"/>
  <c r="P12" i="20" s="1"/>
  <c r="Q12" i="20" s="1"/>
  <c r="M12" i="20"/>
  <c r="I12" i="20"/>
  <c r="J12" i="20" s="1"/>
  <c r="K12" i="20" s="1"/>
  <c r="L12" i="20" s="1"/>
  <c r="R11" i="20"/>
  <c r="N11" i="20"/>
  <c r="O11" i="20" s="1"/>
  <c r="P11" i="20" s="1"/>
  <c r="Q11" i="20" s="1"/>
  <c r="G11" i="20" s="1"/>
  <c r="M11" i="20"/>
  <c r="I11" i="20"/>
  <c r="J11" i="20" s="1"/>
  <c r="K11" i="20" s="1"/>
  <c r="L11" i="20" s="1"/>
  <c r="H11" i="20" s="1"/>
  <c r="R10" i="20"/>
  <c r="N10" i="20"/>
  <c r="O10" i="20" s="1"/>
  <c r="P10" i="20" s="1"/>
  <c r="Q10" i="20" s="1"/>
  <c r="M10" i="20"/>
  <c r="I10" i="20"/>
  <c r="J10" i="20" s="1"/>
  <c r="K10" i="20" s="1"/>
  <c r="L10" i="20" s="1"/>
  <c r="H10" i="20" s="1"/>
  <c r="R9" i="20"/>
  <c r="N9" i="20"/>
  <c r="O9" i="20" s="1"/>
  <c r="P9" i="20" s="1"/>
  <c r="Q9" i="20" s="1"/>
  <c r="M9" i="20"/>
  <c r="I9" i="20"/>
  <c r="J9" i="20" s="1"/>
  <c r="K9" i="20" s="1"/>
  <c r="L9" i="20" s="1"/>
  <c r="H9" i="20" s="1"/>
  <c r="R8" i="20"/>
  <c r="N8" i="20"/>
  <c r="O8" i="20" s="1"/>
  <c r="P8" i="20" s="1"/>
  <c r="Q8" i="20" s="1"/>
  <c r="G8" i="20" s="1"/>
  <c r="M8" i="20"/>
  <c r="I8" i="20"/>
  <c r="J8" i="20" s="1"/>
  <c r="K8" i="20" s="1"/>
  <c r="L8" i="20" s="1"/>
  <c r="R7" i="20"/>
  <c r="N7" i="20"/>
  <c r="O7" i="20" s="1"/>
  <c r="P7" i="20" s="1"/>
  <c r="Q7" i="20" s="1"/>
  <c r="M7" i="20"/>
  <c r="I7" i="20"/>
  <c r="J7" i="20" s="1"/>
  <c r="K7" i="20" s="1"/>
  <c r="L7" i="20" s="1"/>
  <c r="H7" i="20" s="1"/>
  <c r="R6" i="20"/>
  <c r="N6" i="20"/>
  <c r="O6" i="20" s="1"/>
  <c r="P6" i="20" s="1"/>
  <c r="Q6" i="20" s="1"/>
  <c r="M6" i="20"/>
  <c r="I6" i="20"/>
  <c r="J6" i="20" s="1"/>
  <c r="K6" i="20" s="1"/>
  <c r="L6" i="20" s="1"/>
  <c r="H6" i="20" s="1"/>
  <c r="R5" i="20"/>
  <c r="N5" i="20"/>
  <c r="O5" i="20" s="1"/>
  <c r="P5" i="20" s="1"/>
  <c r="Q5" i="20" s="1"/>
  <c r="G5" i="20" s="1"/>
  <c r="M5" i="20"/>
  <c r="I5" i="20"/>
  <c r="J5" i="20" s="1"/>
  <c r="K5" i="20" s="1"/>
  <c r="L5" i="20" s="1"/>
  <c r="H5" i="20" s="1"/>
  <c r="R4" i="20"/>
  <c r="N4" i="20"/>
  <c r="O4" i="20" s="1"/>
  <c r="P4" i="20" s="1"/>
  <c r="M4" i="20"/>
  <c r="I4" i="20"/>
  <c r="J4" i="20" s="1"/>
  <c r="F1" i="20"/>
  <c r="E1" i="20"/>
  <c r="D1" i="20"/>
  <c r="C1" i="20"/>
  <c r="B1" i="20"/>
  <c r="P3" i="21" l="1"/>
  <c r="G4" i="21"/>
  <c r="Q3" i="21"/>
  <c r="G3" i="21" s="1"/>
  <c r="L4" i="21"/>
  <c r="K3" i="21"/>
  <c r="G7" i="20"/>
  <c r="G1" i="20"/>
  <c r="H12" i="20"/>
  <c r="G12" i="20"/>
  <c r="G10" i="20"/>
  <c r="G9" i="20"/>
  <c r="M3" i="20"/>
  <c r="H8" i="20"/>
  <c r="G6" i="20"/>
  <c r="R3" i="20"/>
  <c r="I3" i="20"/>
  <c r="P3" i="20"/>
  <c r="Q4" i="20"/>
  <c r="N3" i="20"/>
  <c r="O3" i="20"/>
  <c r="K4" i="20"/>
  <c r="J3" i="20"/>
  <c r="R51" i="19"/>
  <c r="N51" i="19"/>
  <c r="O51" i="19" s="1"/>
  <c r="P51" i="19" s="1"/>
  <c r="Q51" i="19" s="1"/>
  <c r="G51" i="19" s="1"/>
  <c r="M51" i="19"/>
  <c r="J51" i="19"/>
  <c r="K51" i="19" s="1"/>
  <c r="L51" i="19" s="1"/>
  <c r="H51" i="19" s="1"/>
  <c r="I51" i="19"/>
  <c r="R50" i="19"/>
  <c r="P50" i="19"/>
  <c r="Q50" i="19" s="1"/>
  <c r="G50" i="19" s="1"/>
  <c r="O50" i="19"/>
  <c r="N50" i="19"/>
  <c r="M50" i="19"/>
  <c r="J50" i="19"/>
  <c r="K50" i="19" s="1"/>
  <c r="L50" i="19" s="1"/>
  <c r="H50" i="19" s="1"/>
  <c r="I50" i="19"/>
  <c r="R49" i="19"/>
  <c r="P49" i="19"/>
  <c r="Q49" i="19" s="1"/>
  <c r="G49" i="19" s="1"/>
  <c r="O49" i="19"/>
  <c r="N49" i="19"/>
  <c r="M49" i="19"/>
  <c r="J49" i="19"/>
  <c r="K49" i="19" s="1"/>
  <c r="L49" i="19" s="1"/>
  <c r="H49" i="19" s="1"/>
  <c r="I49" i="19"/>
  <c r="R48" i="19"/>
  <c r="P48" i="19"/>
  <c r="Q48" i="19" s="1"/>
  <c r="G48" i="19" s="1"/>
  <c r="O48" i="19"/>
  <c r="N48" i="19"/>
  <c r="M48" i="19"/>
  <c r="J48" i="19"/>
  <c r="K48" i="19" s="1"/>
  <c r="L48" i="19" s="1"/>
  <c r="H48" i="19" s="1"/>
  <c r="I48" i="19"/>
  <c r="R47" i="19"/>
  <c r="P47" i="19"/>
  <c r="Q47" i="19" s="1"/>
  <c r="G47" i="19" s="1"/>
  <c r="O47" i="19"/>
  <c r="N47" i="19"/>
  <c r="M47" i="19"/>
  <c r="J47" i="19"/>
  <c r="K47" i="19" s="1"/>
  <c r="L47" i="19" s="1"/>
  <c r="H47" i="19" s="1"/>
  <c r="I47" i="19"/>
  <c r="R46" i="19"/>
  <c r="P46" i="19"/>
  <c r="Q46" i="19" s="1"/>
  <c r="G46" i="19" s="1"/>
  <c r="O46" i="19"/>
  <c r="N46" i="19"/>
  <c r="M46" i="19"/>
  <c r="J46" i="19"/>
  <c r="K46" i="19" s="1"/>
  <c r="L46" i="19" s="1"/>
  <c r="H46" i="19" s="1"/>
  <c r="I46" i="19"/>
  <c r="R45" i="19"/>
  <c r="P45" i="19"/>
  <c r="Q45" i="19" s="1"/>
  <c r="G45" i="19" s="1"/>
  <c r="O45" i="19"/>
  <c r="N45" i="19"/>
  <c r="M45" i="19"/>
  <c r="J45" i="19"/>
  <c r="K45" i="19" s="1"/>
  <c r="L45" i="19" s="1"/>
  <c r="H45" i="19" s="1"/>
  <c r="I45" i="19"/>
  <c r="R44" i="19"/>
  <c r="P44" i="19"/>
  <c r="Q44" i="19" s="1"/>
  <c r="G44" i="19" s="1"/>
  <c r="O44" i="19"/>
  <c r="N44" i="19"/>
  <c r="M44" i="19"/>
  <c r="J44" i="19"/>
  <c r="K44" i="19" s="1"/>
  <c r="L44" i="19" s="1"/>
  <c r="H44" i="19" s="1"/>
  <c r="I44" i="19"/>
  <c r="R43" i="19"/>
  <c r="P43" i="19"/>
  <c r="Q43" i="19" s="1"/>
  <c r="G43" i="19" s="1"/>
  <c r="O43" i="19"/>
  <c r="N43" i="19"/>
  <c r="M43" i="19"/>
  <c r="J43" i="19"/>
  <c r="K43" i="19" s="1"/>
  <c r="L43" i="19" s="1"/>
  <c r="H43" i="19" s="1"/>
  <c r="I43" i="19"/>
  <c r="R42" i="19"/>
  <c r="P42" i="19"/>
  <c r="Q42" i="19" s="1"/>
  <c r="G42" i="19" s="1"/>
  <c r="O42" i="19"/>
  <c r="N42" i="19"/>
  <c r="M42" i="19"/>
  <c r="J42" i="19"/>
  <c r="K42" i="19" s="1"/>
  <c r="L42" i="19" s="1"/>
  <c r="H42" i="19" s="1"/>
  <c r="I42" i="19"/>
  <c r="R41" i="19"/>
  <c r="P41" i="19"/>
  <c r="Q41" i="19" s="1"/>
  <c r="G41" i="19" s="1"/>
  <c r="O41" i="19"/>
  <c r="N41" i="19"/>
  <c r="M41" i="19"/>
  <c r="J41" i="19"/>
  <c r="K41" i="19" s="1"/>
  <c r="L41" i="19" s="1"/>
  <c r="H41" i="19" s="1"/>
  <c r="I41" i="19"/>
  <c r="R40" i="19"/>
  <c r="P40" i="19"/>
  <c r="Q40" i="19" s="1"/>
  <c r="G40" i="19" s="1"/>
  <c r="O40" i="19"/>
  <c r="N40" i="19"/>
  <c r="M40" i="19"/>
  <c r="J40" i="19"/>
  <c r="K40" i="19" s="1"/>
  <c r="L40" i="19" s="1"/>
  <c r="H40" i="19" s="1"/>
  <c r="I40" i="19"/>
  <c r="R39" i="19"/>
  <c r="P39" i="19"/>
  <c r="Q39" i="19" s="1"/>
  <c r="G39" i="19" s="1"/>
  <c r="O39" i="19"/>
  <c r="N39" i="19"/>
  <c r="M39" i="19"/>
  <c r="J39" i="19"/>
  <c r="K39" i="19" s="1"/>
  <c r="L39" i="19" s="1"/>
  <c r="H39" i="19" s="1"/>
  <c r="I39" i="19"/>
  <c r="R38" i="19"/>
  <c r="P38" i="19"/>
  <c r="Q38" i="19" s="1"/>
  <c r="G38" i="19" s="1"/>
  <c r="O38" i="19"/>
  <c r="N38" i="19"/>
  <c r="M38" i="19"/>
  <c r="J38" i="19"/>
  <c r="K38" i="19" s="1"/>
  <c r="L38" i="19" s="1"/>
  <c r="H38" i="19" s="1"/>
  <c r="I38" i="19"/>
  <c r="R37" i="19"/>
  <c r="P37" i="19"/>
  <c r="Q37" i="19" s="1"/>
  <c r="G37" i="19" s="1"/>
  <c r="O37" i="19"/>
  <c r="N37" i="19"/>
  <c r="M37" i="19"/>
  <c r="J37" i="19"/>
  <c r="K37" i="19" s="1"/>
  <c r="L37" i="19" s="1"/>
  <c r="H37" i="19" s="1"/>
  <c r="I37" i="19"/>
  <c r="R36" i="19"/>
  <c r="P36" i="19"/>
  <c r="Q36" i="19" s="1"/>
  <c r="G36" i="19" s="1"/>
  <c r="O36" i="19"/>
  <c r="N36" i="19"/>
  <c r="M36" i="19"/>
  <c r="J36" i="19"/>
  <c r="K36" i="19" s="1"/>
  <c r="L36" i="19" s="1"/>
  <c r="H36" i="19" s="1"/>
  <c r="I36" i="19"/>
  <c r="R35" i="19"/>
  <c r="P35" i="19"/>
  <c r="Q35" i="19" s="1"/>
  <c r="G35" i="19" s="1"/>
  <c r="O35" i="19"/>
  <c r="N35" i="19"/>
  <c r="M35" i="19"/>
  <c r="J35" i="19"/>
  <c r="K35" i="19" s="1"/>
  <c r="L35" i="19" s="1"/>
  <c r="H35" i="19" s="1"/>
  <c r="I35" i="19"/>
  <c r="R34" i="19"/>
  <c r="P34" i="19"/>
  <c r="Q34" i="19" s="1"/>
  <c r="G34" i="19" s="1"/>
  <c r="O34" i="19"/>
  <c r="N34" i="19"/>
  <c r="M34" i="19"/>
  <c r="J34" i="19"/>
  <c r="K34" i="19" s="1"/>
  <c r="L34" i="19" s="1"/>
  <c r="H34" i="19" s="1"/>
  <c r="I34" i="19"/>
  <c r="R33" i="19"/>
  <c r="P33" i="19"/>
  <c r="Q33" i="19" s="1"/>
  <c r="G33" i="19" s="1"/>
  <c r="O33" i="19"/>
  <c r="N33" i="19"/>
  <c r="M33" i="19"/>
  <c r="J33" i="19"/>
  <c r="K33" i="19" s="1"/>
  <c r="L33" i="19" s="1"/>
  <c r="H33" i="19" s="1"/>
  <c r="I33" i="19"/>
  <c r="R32" i="19"/>
  <c r="P32" i="19"/>
  <c r="Q32" i="19" s="1"/>
  <c r="G32" i="19" s="1"/>
  <c r="O32" i="19"/>
  <c r="N32" i="19"/>
  <c r="M32" i="19"/>
  <c r="J32" i="19"/>
  <c r="K32" i="19" s="1"/>
  <c r="L32" i="19" s="1"/>
  <c r="H32" i="19" s="1"/>
  <c r="I32" i="19"/>
  <c r="R31" i="19"/>
  <c r="P31" i="19"/>
  <c r="Q31" i="19" s="1"/>
  <c r="G31" i="19" s="1"/>
  <c r="O31" i="19"/>
  <c r="N31" i="19"/>
  <c r="M31" i="19"/>
  <c r="J31" i="19"/>
  <c r="K31" i="19" s="1"/>
  <c r="L31" i="19" s="1"/>
  <c r="H31" i="19" s="1"/>
  <c r="I31" i="19"/>
  <c r="R30" i="19"/>
  <c r="P30" i="19"/>
  <c r="Q30" i="19" s="1"/>
  <c r="G30" i="19" s="1"/>
  <c r="O30" i="19"/>
  <c r="N30" i="19"/>
  <c r="M30" i="19"/>
  <c r="J30" i="19"/>
  <c r="K30" i="19" s="1"/>
  <c r="L30" i="19" s="1"/>
  <c r="H30" i="19" s="1"/>
  <c r="I30" i="19"/>
  <c r="R29" i="19"/>
  <c r="P29" i="19"/>
  <c r="Q29" i="19" s="1"/>
  <c r="G29" i="19" s="1"/>
  <c r="O29" i="19"/>
  <c r="N29" i="19"/>
  <c r="M29" i="19"/>
  <c r="J29" i="19"/>
  <c r="K29" i="19" s="1"/>
  <c r="L29" i="19" s="1"/>
  <c r="H29" i="19" s="1"/>
  <c r="I29" i="19"/>
  <c r="R28" i="19"/>
  <c r="P28" i="19"/>
  <c r="Q28" i="19" s="1"/>
  <c r="G28" i="19" s="1"/>
  <c r="O28" i="19"/>
  <c r="N28" i="19"/>
  <c r="M28" i="19"/>
  <c r="J28" i="19"/>
  <c r="K28" i="19" s="1"/>
  <c r="L28" i="19" s="1"/>
  <c r="H28" i="19" s="1"/>
  <c r="I28" i="19"/>
  <c r="R27" i="19"/>
  <c r="P27" i="19"/>
  <c r="Q27" i="19" s="1"/>
  <c r="G27" i="19" s="1"/>
  <c r="O27" i="19"/>
  <c r="N27" i="19"/>
  <c r="M27" i="19"/>
  <c r="J27" i="19"/>
  <c r="K27" i="19" s="1"/>
  <c r="L27" i="19" s="1"/>
  <c r="H27" i="19" s="1"/>
  <c r="I27" i="19"/>
  <c r="R26" i="19"/>
  <c r="P26" i="19"/>
  <c r="Q26" i="19" s="1"/>
  <c r="G26" i="19" s="1"/>
  <c r="O26" i="19"/>
  <c r="N26" i="19"/>
  <c r="M26" i="19"/>
  <c r="J26" i="19"/>
  <c r="K26" i="19" s="1"/>
  <c r="L26" i="19" s="1"/>
  <c r="H26" i="19" s="1"/>
  <c r="I26" i="19"/>
  <c r="R25" i="19"/>
  <c r="P25" i="19"/>
  <c r="Q25" i="19" s="1"/>
  <c r="G25" i="19" s="1"/>
  <c r="O25" i="19"/>
  <c r="N25" i="19"/>
  <c r="M25" i="19"/>
  <c r="J25" i="19"/>
  <c r="K25" i="19" s="1"/>
  <c r="L25" i="19" s="1"/>
  <c r="H25" i="19" s="1"/>
  <c r="I25" i="19"/>
  <c r="R24" i="19"/>
  <c r="P24" i="19"/>
  <c r="Q24" i="19" s="1"/>
  <c r="G24" i="19" s="1"/>
  <c r="O24" i="19"/>
  <c r="N24" i="19"/>
  <c r="M24" i="19"/>
  <c r="J24" i="19"/>
  <c r="K24" i="19" s="1"/>
  <c r="L24" i="19" s="1"/>
  <c r="H24" i="19" s="1"/>
  <c r="I24" i="19"/>
  <c r="R23" i="19"/>
  <c r="P23" i="19"/>
  <c r="Q23" i="19" s="1"/>
  <c r="G23" i="19" s="1"/>
  <c r="O23" i="19"/>
  <c r="N23" i="19"/>
  <c r="M23" i="19"/>
  <c r="J23" i="19"/>
  <c r="K23" i="19" s="1"/>
  <c r="L23" i="19" s="1"/>
  <c r="H23" i="19" s="1"/>
  <c r="I23" i="19"/>
  <c r="R22" i="19"/>
  <c r="P22" i="19"/>
  <c r="Q22" i="19" s="1"/>
  <c r="G22" i="19" s="1"/>
  <c r="O22" i="19"/>
  <c r="N22" i="19"/>
  <c r="M22" i="19"/>
  <c r="J22" i="19"/>
  <c r="K22" i="19" s="1"/>
  <c r="L22" i="19" s="1"/>
  <c r="H22" i="19" s="1"/>
  <c r="I22" i="19"/>
  <c r="R21" i="19"/>
  <c r="P21" i="19"/>
  <c r="Q21" i="19" s="1"/>
  <c r="G21" i="19" s="1"/>
  <c r="O21" i="19"/>
  <c r="N21" i="19"/>
  <c r="M21" i="19"/>
  <c r="J21" i="19"/>
  <c r="K21" i="19" s="1"/>
  <c r="L21" i="19" s="1"/>
  <c r="H21" i="19" s="1"/>
  <c r="I21" i="19"/>
  <c r="R20" i="19"/>
  <c r="P20" i="19"/>
  <c r="Q20" i="19" s="1"/>
  <c r="G20" i="19" s="1"/>
  <c r="O20" i="19"/>
  <c r="N20" i="19"/>
  <c r="M20" i="19"/>
  <c r="J20" i="19"/>
  <c r="K20" i="19" s="1"/>
  <c r="L20" i="19" s="1"/>
  <c r="H20" i="19" s="1"/>
  <c r="I20" i="19"/>
  <c r="R19" i="19"/>
  <c r="P19" i="19"/>
  <c r="Q19" i="19" s="1"/>
  <c r="G19" i="19" s="1"/>
  <c r="O19" i="19"/>
  <c r="N19" i="19"/>
  <c r="M19" i="19"/>
  <c r="J19" i="19"/>
  <c r="K19" i="19" s="1"/>
  <c r="L19" i="19" s="1"/>
  <c r="H19" i="19" s="1"/>
  <c r="I19" i="19"/>
  <c r="R18" i="19"/>
  <c r="P18" i="19"/>
  <c r="Q18" i="19" s="1"/>
  <c r="G18" i="19" s="1"/>
  <c r="O18" i="19"/>
  <c r="N18" i="19"/>
  <c r="M18" i="19"/>
  <c r="J18" i="19"/>
  <c r="K18" i="19" s="1"/>
  <c r="L18" i="19" s="1"/>
  <c r="H18" i="19" s="1"/>
  <c r="I18" i="19"/>
  <c r="R17" i="19"/>
  <c r="P17" i="19"/>
  <c r="Q17" i="19" s="1"/>
  <c r="G17" i="19" s="1"/>
  <c r="O17" i="19"/>
  <c r="N17" i="19"/>
  <c r="M17" i="19"/>
  <c r="J17" i="19"/>
  <c r="K17" i="19" s="1"/>
  <c r="L17" i="19" s="1"/>
  <c r="H17" i="19" s="1"/>
  <c r="I17" i="19"/>
  <c r="R16" i="19"/>
  <c r="P16" i="19"/>
  <c r="Q16" i="19" s="1"/>
  <c r="G16" i="19" s="1"/>
  <c r="O16" i="19"/>
  <c r="N16" i="19"/>
  <c r="M16" i="19"/>
  <c r="J16" i="19"/>
  <c r="K16" i="19" s="1"/>
  <c r="L16" i="19" s="1"/>
  <c r="H16" i="19" s="1"/>
  <c r="I16" i="19"/>
  <c r="R15" i="19"/>
  <c r="N15" i="19"/>
  <c r="O15" i="19" s="1"/>
  <c r="P15" i="19" s="1"/>
  <c r="Q15" i="19" s="1"/>
  <c r="G15" i="19" s="1"/>
  <c r="M15" i="19"/>
  <c r="J15" i="19"/>
  <c r="K15" i="19" s="1"/>
  <c r="L15" i="19" s="1"/>
  <c r="I15" i="19"/>
  <c r="R14" i="19"/>
  <c r="N14" i="19"/>
  <c r="O14" i="19" s="1"/>
  <c r="P14" i="19" s="1"/>
  <c r="Q14" i="19" s="1"/>
  <c r="G14" i="19" s="1"/>
  <c r="M14" i="19"/>
  <c r="I14" i="19"/>
  <c r="J14" i="19" s="1"/>
  <c r="K14" i="19" s="1"/>
  <c r="L14" i="19" s="1"/>
  <c r="R13" i="19"/>
  <c r="O13" i="19"/>
  <c r="P13" i="19" s="1"/>
  <c r="Q13" i="19" s="1"/>
  <c r="N13" i="19"/>
  <c r="M13" i="19"/>
  <c r="I13" i="19"/>
  <c r="J13" i="19" s="1"/>
  <c r="K13" i="19" s="1"/>
  <c r="L13" i="19" s="1"/>
  <c r="R12" i="19"/>
  <c r="N12" i="19"/>
  <c r="O12" i="19" s="1"/>
  <c r="P12" i="19" s="1"/>
  <c r="Q12" i="19" s="1"/>
  <c r="M12" i="19"/>
  <c r="I12" i="19"/>
  <c r="J12" i="19" s="1"/>
  <c r="K12" i="19" s="1"/>
  <c r="L12" i="19" s="1"/>
  <c r="R11" i="19"/>
  <c r="N11" i="19"/>
  <c r="O11" i="19" s="1"/>
  <c r="P11" i="19" s="1"/>
  <c r="Q11" i="19" s="1"/>
  <c r="M11" i="19"/>
  <c r="I11" i="19"/>
  <c r="J11" i="19" s="1"/>
  <c r="K11" i="19" s="1"/>
  <c r="L11" i="19" s="1"/>
  <c r="R10" i="19"/>
  <c r="N10" i="19"/>
  <c r="O10" i="19" s="1"/>
  <c r="P10" i="19" s="1"/>
  <c r="Q10" i="19" s="1"/>
  <c r="G10" i="19" s="1"/>
  <c r="M10" i="19"/>
  <c r="I10" i="19"/>
  <c r="J10" i="19" s="1"/>
  <c r="K10" i="19" s="1"/>
  <c r="L10" i="19" s="1"/>
  <c r="H10" i="19" s="1"/>
  <c r="R9" i="19"/>
  <c r="N9" i="19"/>
  <c r="O9" i="19" s="1"/>
  <c r="P9" i="19" s="1"/>
  <c r="Q9" i="19" s="1"/>
  <c r="G9" i="19" s="1"/>
  <c r="M9" i="19"/>
  <c r="J9" i="19"/>
  <c r="K9" i="19" s="1"/>
  <c r="L9" i="19" s="1"/>
  <c r="H9" i="19" s="1"/>
  <c r="I9" i="19"/>
  <c r="R8" i="19"/>
  <c r="O8" i="19"/>
  <c r="P8" i="19" s="1"/>
  <c r="Q8" i="19" s="1"/>
  <c r="G8" i="19" s="1"/>
  <c r="N8" i="19"/>
  <c r="M8" i="19"/>
  <c r="I8" i="19"/>
  <c r="J8" i="19" s="1"/>
  <c r="K8" i="19" s="1"/>
  <c r="L8" i="19" s="1"/>
  <c r="H8" i="19" s="1"/>
  <c r="R7" i="19"/>
  <c r="N7" i="19"/>
  <c r="M7" i="19"/>
  <c r="J7" i="19"/>
  <c r="K7" i="19" s="1"/>
  <c r="L7" i="19" s="1"/>
  <c r="H7" i="19" s="1"/>
  <c r="I7" i="19"/>
  <c r="R6" i="19"/>
  <c r="N6" i="19"/>
  <c r="O6" i="19" s="1"/>
  <c r="P6" i="19" s="1"/>
  <c r="Q6" i="19" s="1"/>
  <c r="G6" i="19" s="1"/>
  <c r="M6" i="19"/>
  <c r="I6" i="19"/>
  <c r="J6" i="19" s="1"/>
  <c r="K6" i="19" s="1"/>
  <c r="L6" i="19" s="1"/>
  <c r="H6" i="19" s="1"/>
  <c r="R5" i="19"/>
  <c r="N5" i="19"/>
  <c r="O5" i="19" s="1"/>
  <c r="P5" i="19" s="1"/>
  <c r="Q5" i="19" s="1"/>
  <c r="G5" i="19" s="1"/>
  <c r="M5" i="19"/>
  <c r="I5" i="19"/>
  <c r="J5" i="19" s="1"/>
  <c r="K5" i="19" s="1"/>
  <c r="L5" i="19" s="1"/>
  <c r="H5" i="19" s="1"/>
  <c r="R4" i="19"/>
  <c r="N4" i="19"/>
  <c r="O4" i="19" s="1"/>
  <c r="P4" i="19" s="1"/>
  <c r="M4" i="19"/>
  <c r="J4" i="19"/>
  <c r="K4" i="19" s="1"/>
  <c r="I4" i="19"/>
  <c r="F1" i="19"/>
  <c r="E1" i="19"/>
  <c r="D1" i="19"/>
  <c r="C1" i="19"/>
  <c r="B1" i="19"/>
  <c r="H4" i="21" l="1"/>
  <c r="L3" i="21"/>
  <c r="H3" i="21" s="1"/>
  <c r="Q3" i="20"/>
  <c r="G3" i="20" s="1"/>
  <c r="G4" i="20"/>
  <c r="L4" i="20"/>
  <c r="K3" i="20"/>
  <c r="N3" i="19"/>
  <c r="O7" i="19"/>
  <c r="P7" i="19" s="1"/>
  <c r="Q7" i="19" s="1"/>
  <c r="R3" i="19"/>
  <c r="H15" i="19"/>
  <c r="H14" i="19"/>
  <c r="H13" i="19"/>
  <c r="G13" i="19"/>
  <c r="H12" i="19"/>
  <c r="G12" i="19"/>
  <c r="H11" i="19"/>
  <c r="G11" i="19"/>
  <c r="G7" i="19"/>
  <c r="M3" i="19"/>
  <c r="I3" i="19"/>
  <c r="G1" i="19"/>
  <c r="J3" i="19"/>
  <c r="L4" i="19"/>
  <c r="K3" i="19"/>
  <c r="Q4" i="19"/>
  <c r="R51" i="18"/>
  <c r="N51" i="18"/>
  <c r="O51" i="18" s="1"/>
  <c r="P51" i="18" s="1"/>
  <c r="Q51" i="18" s="1"/>
  <c r="G51" i="18" s="1"/>
  <c r="M51" i="18"/>
  <c r="I51" i="18"/>
  <c r="J51" i="18" s="1"/>
  <c r="K51" i="18" s="1"/>
  <c r="L51" i="18" s="1"/>
  <c r="H51" i="18"/>
  <c r="R50" i="18"/>
  <c r="N50" i="18"/>
  <c r="O50" i="18" s="1"/>
  <c r="P50" i="18" s="1"/>
  <c r="Q50" i="18" s="1"/>
  <c r="G50" i="18" s="1"/>
  <c r="M50" i="18"/>
  <c r="I50" i="18"/>
  <c r="J50" i="18" s="1"/>
  <c r="K50" i="18" s="1"/>
  <c r="L50" i="18" s="1"/>
  <c r="H50" i="18" s="1"/>
  <c r="R49" i="18"/>
  <c r="N49" i="18"/>
  <c r="O49" i="18" s="1"/>
  <c r="P49" i="18" s="1"/>
  <c r="Q49" i="18" s="1"/>
  <c r="G49" i="18" s="1"/>
  <c r="M49" i="18"/>
  <c r="I49" i="18"/>
  <c r="J49" i="18" s="1"/>
  <c r="K49" i="18" s="1"/>
  <c r="L49" i="18" s="1"/>
  <c r="H49" i="18" s="1"/>
  <c r="R48" i="18"/>
  <c r="N48" i="18"/>
  <c r="O48" i="18" s="1"/>
  <c r="P48" i="18" s="1"/>
  <c r="Q48" i="18" s="1"/>
  <c r="G48" i="18" s="1"/>
  <c r="M48" i="18"/>
  <c r="I48" i="18"/>
  <c r="J48" i="18" s="1"/>
  <c r="K48" i="18" s="1"/>
  <c r="L48" i="18" s="1"/>
  <c r="H48" i="18"/>
  <c r="R47" i="18"/>
  <c r="N47" i="18"/>
  <c r="O47" i="18" s="1"/>
  <c r="P47" i="18" s="1"/>
  <c r="Q47" i="18" s="1"/>
  <c r="G47" i="18" s="1"/>
  <c r="M47" i="18"/>
  <c r="I47" i="18"/>
  <c r="J47" i="18" s="1"/>
  <c r="K47" i="18" s="1"/>
  <c r="L47" i="18" s="1"/>
  <c r="H47" i="18" s="1"/>
  <c r="R46" i="18"/>
  <c r="N46" i="18"/>
  <c r="O46" i="18" s="1"/>
  <c r="P46" i="18" s="1"/>
  <c r="Q46" i="18" s="1"/>
  <c r="G46" i="18" s="1"/>
  <c r="M46" i="18"/>
  <c r="I46" i="18"/>
  <c r="J46" i="18" s="1"/>
  <c r="K46" i="18" s="1"/>
  <c r="L46" i="18" s="1"/>
  <c r="H46" i="18" s="1"/>
  <c r="R45" i="18"/>
  <c r="N45" i="18"/>
  <c r="O45" i="18" s="1"/>
  <c r="P45" i="18" s="1"/>
  <c r="Q45" i="18" s="1"/>
  <c r="G45" i="18" s="1"/>
  <c r="M45" i="18"/>
  <c r="I45" i="18"/>
  <c r="J45" i="18" s="1"/>
  <c r="K45" i="18" s="1"/>
  <c r="L45" i="18" s="1"/>
  <c r="H45" i="18"/>
  <c r="R44" i="18"/>
  <c r="N44" i="18"/>
  <c r="O44" i="18" s="1"/>
  <c r="P44" i="18" s="1"/>
  <c r="Q44" i="18" s="1"/>
  <c r="G44" i="18" s="1"/>
  <c r="M44" i="18"/>
  <c r="I44" i="18"/>
  <c r="J44" i="18" s="1"/>
  <c r="K44" i="18" s="1"/>
  <c r="L44" i="18" s="1"/>
  <c r="H44" i="18" s="1"/>
  <c r="R43" i="18"/>
  <c r="N43" i="18"/>
  <c r="O43" i="18" s="1"/>
  <c r="P43" i="18" s="1"/>
  <c r="Q43" i="18" s="1"/>
  <c r="G43" i="18" s="1"/>
  <c r="M43" i="18"/>
  <c r="I43" i="18"/>
  <c r="J43" i="18" s="1"/>
  <c r="K43" i="18" s="1"/>
  <c r="L43" i="18" s="1"/>
  <c r="H43" i="18" s="1"/>
  <c r="R42" i="18"/>
  <c r="N42" i="18"/>
  <c r="O42" i="18" s="1"/>
  <c r="P42" i="18" s="1"/>
  <c r="Q42" i="18" s="1"/>
  <c r="G42" i="18" s="1"/>
  <c r="M42" i="18"/>
  <c r="I42" i="18"/>
  <c r="J42" i="18" s="1"/>
  <c r="K42" i="18" s="1"/>
  <c r="L42" i="18" s="1"/>
  <c r="H42" i="18"/>
  <c r="R41" i="18"/>
  <c r="N41" i="18"/>
  <c r="O41" i="18" s="1"/>
  <c r="P41" i="18" s="1"/>
  <c r="Q41" i="18" s="1"/>
  <c r="G41" i="18" s="1"/>
  <c r="M41" i="18"/>
  <c r="I41" i="18"/>
  <c r="J41" i="18" s="1"/>
  <c r="K41" i="18" s="1"/>
  <c r="L41" i="18" s="1"/>
  <c r="H41" i="18" s="1"/>
  <c r="R40" i="18"/>
  <c r="N40" i="18"/>
  <c r="O40" i="18" s="1"/>
  <c r="P40" i="18" s="1"/>
  <c r="Q40" i="18" s="1"/>
  <c r="G40" i="18" s="1"/>
  <c r="M40" i="18"/>
  <c r="I40" i="18"/>
  <c r="J40" i="18" s="1"/>
  <c r="K40" i="18" s="1"/>
  <c r="L40" i="18" s="1"/>
  <c r="H40" i="18" s="1"/>
  <c r="R39" i="18"/>
  <c r="N39" i="18"/>
  <c r="O39" i="18" s="1"/>
  <c r="P39" i="18" s="1"/>
  <c r="Q39" i="18" s="1"/>
  <c r="G39" i="18" s="1"/>
  <c r="M39" i="18"/>
  <c r="I39" i="18"/>
  <c r="J39" i="18" s="1"/>
  <c r="K39" i="18" s="1"/>
  <c r="L39" i="18" s="1"/>
  <c r="H39" i="18"/>
  <c r="R38" i="18"/>
  <c r="N38" i="18"/>
  <c r="O38" i="18" s="1"/>
  <c r="P38" i="18" s="1"/>
  <c r="Q38" i="18" s="1"/>
  <c r="G38" i="18" s="1"/>
  <c r="M38" i="18"/>
  <c r="I38" i="18"/>
  <c r="J38" i="18" s="1"/>
  <c r="K38" i="18" s="1"/>
  <c r="L38" i="18" s="1"/>
  <c r="H38" i="18" s="1"/>
  <c r="R37" i="18"/>
  <c r="N37" i="18"/>
  <c r="O37" i="18" s="1"/>
  <c r="P37" i="18" s="1"/>
  <c r="Q37" i="18" s="1"/>
  <c r="G37" i="18" s="1"/>
  <c r="M37" i="18"/>
  <c r="I37" i="18"/>
  <c r="J37" i="18" s="1"/>
  <c r="K37" i="18" s="1"/>
  <c r="L37" i="18" s="1"/>
  <c r="H37" i="18" s="1"/>
  <c r="R36" i="18"/>
  <c r="N36" i="18"/>
  <c r="O36" i="18" s="1"/>
  <c r="P36" i="18" s="1"/>
  <c r="Q36" i="18" s="1"/>
  <c r="G36" i="18" s="1"/>
  <c r="M36" i="18"/>
  <c r="I36" i="18"/>
  <c r="J36" i="18" s="1"/>
  <c r="K36" i="18" s="1"/>
  <c r="L36" i="18" s="1"/>
  <c r="H36" i="18"/>
  <c r="R35" i="18"/>
  <c r="N35" i="18"/>
  <c r="O35" i="18" s="1"/>
  <c r="P35" i="18" s="1"/>
  <c r="Q35" i="18" s="1"/>
  <c r="G35" i="18" s="1"/>
  <c r="M35" i="18"/>
  <c r="I35" i="18"/>
  <c r="J35" i="18" s="1"/>
  <c r="K35" i="18" s="1"/>
  <c r="L35" i="18" s="1"/>
  <c r="H35" i="18" s="1"/>
  <c r="R34" i="18"/>
  <c r="N34" i="18"/>
  <c r="O34" i="18" s="1"/>
  <c r="P34" i="18" s="1"/>
  <c r="Q34" i="18" s="1"/>
  <c r="G34" i="18" s="1"/>
  <c r="M34" i="18"/>
  <c r="I34" i="18"/>
  <c r="J34" i="18" s="1"/>
  <c r="K34" i="18" s="1"/>
  <c r="L34" i="18" s="1"/>
  <c r="H34" i="18" s="1"/>
  <c r="R33" i="18"/>
  <c r="N33" i="18"/>
  <c r="O33" i="18" s="1"/>
  <c r="P33" i="18" s="1"/>
  <c r="Q33" i="18" s="1"/>
  <c r="G33" i="18" s="1"/>
  <c r="M33" i="18"/>
  <c r="I33" i="18"/>
  <c r="J33" i="18" s="1"/>
  <c r="K33" i="18" s="1"/>
  <c r="L33" i="18" s="1"/>
  <c r="H33" i="18"/>
  <c r="R32" i="18"/>
  <c r="N32" i="18"/>
  <c r="O32" i="18" s="1"/>
  <c r="P32" i="18" s="1"/>
  <c r="Q32" i="18" s="1"/>
  <c r="G32" i="18" s="1"/>
  <c r="M32" i="18"/>
  <c r="I32" i="18"/>
  <c r="J32" i="18" s="1"/>
  <c r="K32" i="18" s="1"/>
  <c r="L32" i="18" s="1"/>
  <c r="H32" i="18" s="1"/>
  <c r="R31" i="18"/>
  <c r="N31" i="18"/>
  <c r="O31" i="18" s="1"/>
  <c r="P31" i="18" s="1"/>
  <c r="Q31" i="18" s="1"/>
  <c r="G31" i="18" s="1"/>
  <c r="M31" i="18"/>
  <c r="I31" i="18"/>
  <c r="J31" i="18" s="1"/>
  <c r="K31" i="18" s="1"/>
  <c r="L31" i="18" s="1"/>
  <c r="H31" i="18" s="1"/>
  <c r="R30" i="18"/>
  <c r="N30" i="18"/>
  <c r="O30" i="18" s="1"/>
  <c r="P30" i="18" s="1"/>
  <c r="Q30" i="18" s="1"/>
  <c r="G30" i="18" s="1"/>
  <c r="M30" i="18"/>
  <c r="I30" i="18"/>
  <c r="J30" i="18" s="1"/>
  <c r="K30" i="18" s="1"/>
  <c r="L30" i="18" s="1"/>
  <c r="H30" i="18"/>
  <c r="R29" i="18"/>
  <c r="N29" i="18"/>
  <c r="O29" i="18" s="1"/>
  <c r="P29" i="18" s="1"/>
  <c r="Q29" i="18" s="1"/>
  <c r="G29" i="18" s="1"/>
  <c r="M29" i="18"/>
  <c r="I29" i="18"/>
  <c r="J29" i="18" s="1"/>
  <c r="K29" i="18" s="1"/>
  <c r="L29" i="18" s="1"/>
  <c r="H29" i="18" s="1"/>
  <c r="R28" i="18"/>
  <c r="N28" i="18"/>
  <c r="O28" i="18" s="1"/>
  <c r="P28" i="18" s="1"/>
  <c r="Q28" i="18" s="1"/>
  <c r="G28" i="18" s="1"/>
  <c r="M28" i="18"/>
  <c r="I28" i="18"/>
  <c r="J28" i="18" s="1"/>
  <c r="K28" i="18" s="1"/>
  <c r="L28" i="18" s="1"/>
  <c r="H28" i="18" s="1"/>
  <c r="R27" i="18"/>
  <c r="N27" i="18"/>
  <c r="O27" i="18" s="1"/>
  <c r="P27" i="18" s="1"/>
  <c r="Q27" i="18" s="1"/>
  <c r="G27" i="18" s="1"/>
  <c r="M27" i="18"/>
  <c r="I27" i="18"/>
  <c r="J27" i="18" s="1"/>
  <c r="K27" i="18" s="1"/>
  <c r="L27" i="18" s="1"/>
  <c r="H27" i="18"/>
  <c r="R26" i="18"/>
  <c r="N26" i="18"/>
  <c r="O26" i="18" s="1"/>
  <c r="P26" i="18" s="1"/>
  <c r="Q26" i="18" s="1"/>
  <c r="G26" i="18" s="1"/>
  <c r="M26" i="18"/>
  <c r="I26" i="18"/>
  <c r="J26" i="18" s="1"/>
  <c r="K26" i="18" s="1"/>
  <c r="L26" i="18" s="1"/>
  <c r="H26" i="18" s="1"/>
  <c r="R25" i="18"/>
  <c r="N25" i="18"/>
  <c r="O25" i="18" s="1"/>
  <c r="P25" i="18" s="1"/>
  <c r="Q25" i="18" s="1"/>
  <c r="G25" i="18" s="1"/>
  <c r="M25" i="18"/>
  <c r="I25" i="18"/>
  <c r="J25" i="18" s="1"/>
  <c r="K25" i="18" s="1"/>
  <c r="L25" i="18" s="1"/>
  <c r="H25" i="18" s="1"/>
  <c r="R24" i="18"/>
  <c r="N24" i="18"/>
  <c r="O24" i="18" s="1"/>
  <c r="P24" i="18" s="1"/>
  <c r="Q24" i="18" s="1"/>
  <c r="G24" i="18" s="1"/>
  <c r="M24" i="18"/>
  <c r="I24" i="18"/>
  <c r="J24" i="18" s="1"/>
  <c r="K24" i="18" s="1"/>
  <c r="L24" i="18" s="1"/>
  <c r="H24" i="18"/>
  <c r="R23" i="18"/>
  <c r="N23" i="18"/>
  <c r="O23" i="18" s="1"/>
  <c r="P23" i="18" s="1"/>
  <c r="Q23" i="18" s="1"/>
  <c r="G23" i="18" s="1"/>
  <c r="M23" i="18"/>
  <c r="I23" i="18"/>
  <c r="J23" i="18" s="1"/>
  <c r="K23" i="18" s="1"/>
  <c r="L23" i="18" s="1"/>
  <c r="H23" i="18" s="1"/>
  <c r="R22" i="18"/>
  <c r="N22" i="18"/>
  <c r="O22" i="18" s="1"/>
  <c r="P22" i="18" s="1"/>
  <c r="Q22" i="18" s="1"/>
  <c r="G22" i="18" s="1"/>
  <c r="M22" i="18"/>
  <c r="I22" i="18"/>
  <c r="J22" i="18" s="1"/>
  <c r="K22" i="18" s="1"/>
  <c r="L22" i="18" s="1"/>
  <c r="H22" i="18" s="1"/>
  <c r="R21" i="18"/>
  <c r="N21" i="18"/>
  <c r="O21" i="18" s="1"/>
  <c r="P21" i="18" s="1"/>
  <c r="Q21" i="18" s="1"/>
  <c r="G21" i="18" s="1"/>
  <c r="M21" i="18"/>
  <c r="I21" i="18"/>
  <c r="J21" i="18" s="1"/>
  <c r="K21" i="18" s="1"/>
  <c r="L21" i="18" s="1"/>
  <c r="H21" i="18"/>
  <c r="R20" i="18"/>
  <c r="N20" i="18"/>
  <c r="O20" i="18" s="1"/>
  <c r="P20" i="18" s="1"/>
  <c r="Q20" i="18" s="1"/>
  <c r="G20" i="18" s="1"/>
  <c r="M20" i="18"/>
  <c r="I20" i="18"/>
  <c r="J20" i="18" s="1"/>
  <c r="K20" i="18" s="1"/>
  <c r="L20" i="18" s="1"/>
  <c r="H20" i="18" s="1"/>
  <c r="R19" i="18"/>
  <c r="N19" i="18"/>
  <c r="O19" i="18" s="1"/>
  <c r="P19" i="18" s="1"/>
  <c r="Q19" i="18" s="1"/>
  <c r="G19" i="18" s="1"/>
  <c r="M19" i="18"/>
  <c r="J19" i="18"/>
  <c r="K19" i="18" s="1"/>
  <c r="L19" i="18" s="1"/>
  <c r="H19" i="18" s="1"/>
  <c r="I19" i="18"/>
  <c r="R18" i="18"/>
  <c r="N18" i="18"/>
  <c r="O18" i="18" s="1"/>
  <c r="P18" i="18" s="1"/>
  <c r="Q18" i="18" s="1"/>
  <c r="G18" i="18" s="1"/>
  <c r="M18" i="18"/>
  <c r="I18" i="18"/>
  <c r="J18" i="18" s="1"/>
  <c r="K18" i="18" s="1"/>
  <c r="L18" i="18" s="1"/>
  <c r="H18" i="18"/>
  <c r="R17" i="18"/>
  <c r="N17" i="18"/>
  <c r="O17" i="18" s="1"/>
  <c r="P17" i="18" s="1"/>
  <c r="Q17" i="18" s="1"/>
  <c r="G17" i="18" s="1"/>
  <c r="M17" i="18"/>
  <c r="K17" i="18"/>
  <c r="L17" i="18" s="1"/>
  <c r="H17" i="18" s="1"/>
  <c r="I17" i="18"/>
  <c r="J17" i="18" s="1"/>
  <c r="R16" i="18"/>
  <c r="N16" i="18"/>
  <c r="O16" i="18" s="1"/>
  <c r="P16" i="18" s="1"/>
  <c r="Q16" i="18" s="1"/>
  <c r="G16" i="18" s="1"/>
  <c r="M16" i="18"/>
  <c r="I16" i="18"/>
  <c r="J16" i="18" s="1"/>
  <c r="K16" i="18" s="1"/>
  <c r="L16" i="18" s="1"/>
  <c r="H16" i="18" s="1"/>
  <c r="R15" i="18"/>
  <c r="O15" i="18"/>
  <c r="P15" i="18" s="1"/>
  <c r="Q15" i="18" s="1"/>
  <c r="G15" i="18" s="1"/>
  <c r="N15" i="18"/>
  <c r="M15" i="18"/>
  <c r="I15" i="18"/>
  <c r="J15" i="18" s="1"/>
  <c r="K15" i="18" s="1"/>
  <c r="L15" i="18" s="1"/>
  <c r="H15" i="18"/>
  <c r="R14" i="18"/>
  <c r="N14" i="18"/>
  <c r="O14" i="18" s="1"/>
  <c r="P14" i="18" s="1"/>
  <c r="Q14" i="18" s="1"/>
  <c r="G14" i="18" s="1"/>
  <c r="M14" i="18"/>
  <c r="I14" i="18"/>
  <c r="J14" i="18" s="1"/>
  <c r="K14" i="18" s="1"/>
  <c r="L14" i="18" s="1"/>
  <c r="H14" i="18" s="1"/>
  <c r="R13" i="18"/>
  <c r="N13" i="18"/>
  <c r="O13" i="18" s="1"/>
  <c r="P13" i="18" s="1"/>
  <c r="Q13" i="18" s="1"/>
  <c r="G13" i="18" s="1"/>
  <c r="M13" i="18"/>
  <c r="I13" i="18"/>
  <c r="J13" i="18" s="1"/>
  <c r="K13" i="18" s="1"/>
  <c r="L13" i="18" s="1"/>
  <c r="R12" i="18"/>
  <c r="N12" i="18"/>
  <c r="O12" i="18" s="1"/>
  <c r="P12" i="18" s="1"/>
  <c r="Q12" i="18" s="1"/>
  <c r="G12" i="18" s="1"/>
  <c r="M12" i="18"/>
  <c r="I12" i="18"/>
  <c r="J12" i="18" s="1"/>
  <c r="K12" i="18" s="1"/>
  <c r="L12" i="18" s="1"/>
  <c r="H12" i="18" s="1"/>
  <c r="R11" i="18"/>
  <c r="N11" i="18"/>
  <c r="O11" i="18" s="1"/>
  <c r="P11" i="18" s="1"/>
  <c r="Q11" i="18" s="1"/>
  <c r="G11" i="18" s="1"/>
  <c r="M11" i="18"/>
  <c r="I11" i="18"/>
  <c r="J11" i="18" s="1"/>
  <c r="K11" i="18" s="1"/>
  <c r="L11" i="18" s="1"/>
  <c r="H11" i="18" s="1"/>
  <c r="R10" i="18"/>
  <c r="N10" i="18"/>
  <c r="O10" i="18" s="1"/>
  <c r="P10" i="18" s="1"/>
  <c r="Q10" i="18" s="1"/>
  <c r="M10" i="18"/>
  <c r="I10" i="18"/>
  <c r="J10" i="18" s="1"/>
  <c r="K10" i="18" s="1"/>
  <c r="L10" i="18" s="1"/>
  <c r="H10" i="18" s="1"/>
  <c r="R9" i="18"/>
  <c r="N9" i="18"/>
  <c r="O9" i="18" s="1"/>
  <c r="P9" i="18" s="1"/>
  <c r="Q9" i="18" s="1"/>
  <c r="G9" i="18" s="1"/>
  <c r="M9" i="18"/>
  <c r="H9" i="18" s="1"/>
  <c r="I9" i="18"/>
  <c r="J9" i="18" s="1"/>
  <c r="K9" i="18" s="1"/>
  <c r="L9" i="18" s="1"/>
  <c r="R8" i="18"/>
  <c r="N8" i="18"/>
  <c r="O8" i="18" s="1"/>
  <c r="P8" i="18" s="1"/>
  <c r="Q8" i="18" s="1"/>
  <c r="G8" i="18" s="1"/>
  <c r="M8" i="18"/>
  <c r="I8" i="18"/>
  <c r="J8" i="18" s="1"/>
  <c r="K8" i="18" s="1"/>
  <c r="L8" i="18" s="1"/>
  <c r="H8" i="18" s="1"/>
  <c r="R7" i="18"/>
  <c r="N7" i="18"/>
  <c r="O7" i="18" s="1"/>
  <c r="P7" i="18" s="1"/>
  <c r="Q7" i="18" s="1"/>
  <c r="M7" i="18"/>
  <c r="I7" i="18"/>
  <c r="J7" i="18" s="1"/>
  <c r="K7" i="18" s="1"/>
  <c r="L7" i="18" s="1"/>
  <c r="H7" i="18" s="1"/>
  <c r="R6" i="18"/>
  <c r="N6" i="18"/>
  <c r="O6" i="18" s="1"/>
  <c r="P6" i="18" s="1"/>
  <c r="Q6" i="18" s="1"/>
  <c r="G6" i="18" s="1"/>
  <c r="M6" i="18"/>
  <c r="I6" i="18"/>
  <c r="J6" i="18" s="1"/>
  <c r="K6" i="18" s="1"/>
  <c r="L6" i="18" s="1"/>
  <c r="H6" i="18" s="1"/>
  <c r="R5" i="18"/>
  <c r="N5" i="18"/>
  <c r="O5" i="18" s="1"/>
  <c r="P5" i="18" s="1"/>
  <c r="Q5" i="18" s="1"/>
  <c r="G5" i="18" s="1"/>
  <c r="M5" i="18"/>
  <c r="I5" i="18"/>
  <c r="J5" i="18" s="1"/>
  <c r="K5" i="18" s="1"/>
  <c r="L5" i="18" s="1"/>
  <c r="R4" i="18"/>
  <c r="N4" i="18"/>
  <c r="O4" i="18" s="1"/>
  <c r="M4" i="18"/>
  <c r="I4" i="18"/>
  <c r="J4" i="18" s="1"/>
  <c r="F1" i="18"/>
  <c r="E1" i="18"/>
  <c r="D1" i="18"/>
  <c r="C1" i="18"/>
  <c r="B1" i="18"/>
  <c r="L3" i="20" l="1"/>
  <c r="H3" i="20" s="1"/>
  <c r="H4" i="20"/>
  <c r="P3" i="19"/>
  <c r="O3" i="19"/>
  <c r="Q3" i="19"/>
  <c r="G3" i="19" s="1"/>
  <c r="G4" i="19"/>
  <c r="L3" i="19"/>
  <c r="H3" i="19" s="1"/>
  <c r="H4" i="19"/>
  <c r="G1" i="18"/>
  <c r="G10" i="18"/>
  <c r="G7" i="18"/>
  <c r="R3" i="18"/>
  <c r="H5" i="18"/>
  <c r="H13" i="18"/>
  <c r="M3" i="18"/>
  <c r="O3" i="18"/>
  <c r="K4" i="18"/>
  <c r="J3" i="18"/>
  <c r="P4" i="18"/>
  <c r="I3" i="18"/>
  <c r="N3" i="18"/>
  <c r="R51" i="17"/>
  <c r="O51" i="17"/>
  <c r="P51" i="17" s="1"/>
  <c r="Q51" i="17" s="1"/>
  <c r="G51" i="17" s="1"/>
  <c r="N51" i="17"/>
  <c r="M51" i="17"/>
  <c r="I51" i="17"/>
  <c r="J51" i="17" s="1"/>
  <c r="K51" i="17" s="1"/>
  <c r="L51" i="17" s="1"/>
  <c r="H51" i="17"/>
  <c r="R50" i="17"/>
  <c r="N50" i="17"/>
  <c r="O50" i="17" s="1"/>
  <c r="P50" i="17" s="1"/>
  <c r="Q50" i="17" s="1"/>
  <c r="G50" i="17" s="1"/>
  <c r="M50" i="17"/>
  <c r="I50" i="17"/>
  <c r="J50" i="17" s="1"/>
  <c r="K50" i="17" s="1"/>
  <c r="L50" i="17" s="1"/>
  <c r="H50" i="17" s="1"/>
  <c r="R49" i="17"/>
  <c r="P49" i="17"/>
  <c r="Q49" i="17" s="1"/>
  <c r="G49" i="17" s="1"/>
  <c r="N49" i="17"/>
  <c r="O49" i="17" s="1"/>
  <c r="M49" i="17"/>
  <c r="I49" i="17"/>
  <c r="J49" i="17" s="1"/>
  <c r="K49" i="17" s="1"/>
  <c r="L49" i="17" s="1"/>
  <c r="H49" i="17" s="1"/>
  <c r="R48" i="17"/>
  <c r="O48" i="17"/>
  <c r="P48" i="17" s="1"/>
  <c r="Q48" i="17" s="1"/>
  <c r="G48" i="17" s="1"/>
  <c r="N48" i="17"/>
  <c r="M48" i="17"/>
  <c r="I48" i="17"/>
  <c r="J48" i="17" s="1"/>
  <c r="K48" i="17" s="1"/>
  <c r="L48" i="17" s="1"/>
  <c r="H48" i="17"/>
  <c r="R47" i="17"/>
  <c r="N47" i="17"/>
  <c r="O47" i="17" s="1"/>
  <c r="P47" i="17" s="1"/>
  <c r="Q47" i="17" s="1"/>
  <c r="G47" i="17" s="1"/>
  <c r="M47" i="17"/>
  <c r="I47" i="17"/>
  <c r="J47" i="17" s="1"/>
  <c r="K47" i="17" s="1"/>
  <c r="L47" i="17" s="1"/>
  <c r="H47" i="17" s="1"/>
  <c r="R46" i="17"/>
  <c r="P46" i="17"/>
  <c r="Q46" i="17" s="1"/>
  <c r="G46" i="17" s="1"/>
  <c r="N46" i="17"/>
  <c r="O46" i="17" s="1"/>
  <c r="M46" i="17"/>
  <c r="I46" i="17"/>
  <c r="J46" i="17" s="1"/>
  <c r="K46" i="17" s="1"/>
  <c r="L46" i="17" s="1"/>
  <c r="H46" i="17" s="1"/>
  <c r="R45" i="17"/>
  <c r="N45" i="17"/>
  <c r="O45" i="17" s="1"/>
  <c r="P45" i="17" s="1"/>
  <c r="Q45" i="17" s="1"/>
  <c r="G45" i="17" s="1"/>
  <c r="M45" i="17"/>
  <c r="I45" i="17"/>
  <c r="J45" i="17" s="1"/>
  <c r="K45" i="17" s="1"/>
  <c r="L45" i="17" s="1"/>
  <c r="H45" i="17"/>
  <c r="R44" i="17"/>
  <c r="N44" i="17"/>
  <c r="O44" i="17" s="1"/>
  <c r="P44" i="17" s="1"/>
  <c r="Q44" i="17" s="1"/>
  <c r="G44" i="17" s="1"/>
  <c r="M44" i="17"/>
  <c r="I44" i="17"/>
  <c r="J44" i="17" s="1"/>
  <c r="K44" i="17" s="1"/>
  <c r="L44" i="17" s="1"/>
  <c r="H44" i="17" s="1"/>
  <c r="R43" i="17"/>
  <c r="N43" i="17"/>
  <c r="O43" i="17" s="1"/>
  <c r="P43" i="17" s="1"/>
  <c r="Q43" i="17" s="1"/>
  <c r="G43" i="17" s="1"/>
  <c r="M43" i="17"/>
  <c r="J43" i="17"/>
  <c r="K43" i="17" s="1"/>
  <c r="L43" i="17" s="1"/>
  <c r="H43" i="17" s="1"/>
  <c r="I43" i="17"/>
  <c r="R42" i="17"/>
  <c r="N42" i="17"/>
  <c r="O42" i="17" s="1"/>
  <c r="P42" i="17" s="1"/>
  <c r="Q42" i="17" s="1"/>
  <c r="G42" i="17" s="1"/>
  <c r="M42" i="17"/>
  <c r="I42" i="17"/>
  <c r="J42" i="17" s="1"/>
  <c r="K42" i="17" s="1"/>
  <c r="L42" i="17" s="1"/>
  <c r="H42" i="17"/>
  <c r="R41" i="17"/>
  <c r="N41" i="17"/>
  <c r="O41" i="17" s="1"/>
  <c r="P41" i="17" s="1"/>
  <c r="Q41" i="17" s="1"/>
  <c r="G41" i="17" s="1"/>
  <c r="M41" i="17"/>
  <c r="K41" i="17"/>
  <c r="L41" i="17" s="1"/>
  <c r="H41" i="17" s="1"/>
  <c r="I41" i="17"/>
  <c r="J41" i="17" s="1"/>
  <c r="R40" i="17"/>
  <c r="N40" i="17"/>
  <c r="O40" i="17" s="1"/>
  <c r="P40" i="17" s="1"/>
  <c r="Q40" i="17" s="1"/>
  <c r="G40" i="17" s="1"/>
  <c r="M40" i="17"/>
  <c r="I40" i="17"/>
  <c r="J40" i="17" s="1"/>
  <c r="K40" i="17" s="1"/>
  <c r="L40" i="17" s="1"/>
  <c r="H40" i="17" s="1"/>
  <c r="R39" i="17"/>
  <c r="O39" i="17"/>
  <c r="P39" i="17" s="1"/>
  <c r="Q39" i="17" s="1"/>
  <c r="G39" i="17" s="1"/>
  <c r="N39" i="17"/>
  <c r="M39" i="17"/>
  <c r="I39" i="17"/>
  <c r="J39" i="17" s="1"/>
  <c r="K39" i="17" s="1"/>
  <c r="L39" i="17" s="1"/>
  <c r="H39" i="17"/>
  <c r="R38" i="17"/>
  <c r="N38" i="17"/>
  <c r="O38" i="17" s="1"/>
  <c r="P38" i="17" s="1"/>
  <c r="Q38" i="17" s="1"/>
  <c r="G38" i="17" s="1"/>
  <c r="M38" i="17"/>
  <c r="I38" i="17"/>
  <c r="J38" i="17" s="1"/>
  <c r="K38" i="17" s="1"/>
  <c r="L38" i="17" s="1"/>
  <c r="H38" i="17" s="1"/>
  <c r="R37" i="17"/>
  <c r="P37" i="17"/>
  <c r="Q37" i="17" s="1"/>
  <c r="G37" i="17" s="1"/>
  <c r="N37" i="17"/>
  <c r="O37" i="17" s="1"/>
  <c r="M37" i="17"/>
  <c r="I37" i="17"/>
  <c r="J37" i="17" s="1"/>
  <c r="K37" i="17" s="1"/>
  <c r="L37" i="17" s="1"/>
  <c r="H37" i="17" s="1"/>
  <c r="R36" i="17"/>
  <c r="N36" i="17"/>
  <c r="O36" i="17" s="1"/>
  <c r="P36" i="17" s="1"/>
  <c r="Q36" i="17" s="1"/>
  <c r="G36" i="17" s="1"/>
  <c r="M36" i="17"/>
  <c r="I36" i="17"/>
  <c r="J36" i="17" s="1"/>
  <c r="K36" i="17" s="1"/>
  <c r="L36" i="17" s="1"/>
  <c r="H36" i="17"/>
  <c r="R35" i="17"/>
  <c r="N35" i="17"/>
  <c r="O35" i="17" s="1"/>
  <c r="P35" i="17" s="1"/>
  <c r="Q35" i="17" s="1"/>
  <c r="G35" i="17" s="1"/>
  <c r="M35" i="17"/>
  <c r="I35" i="17"/>
  <c r="J35" i="17" s="1"/>
  <c r="K35" i="17" s="1"/>
  <c r="L35" i="17" s="1"/>
  <c r="H35" i="17" s="1"/>
  <c r="R34" i="17"/>
  <c r="N34" i="17"/>
  <c r="O34" i="17" s="1"/>
  <c r="P34" i="17" s="1"/>
  <c r="Q34" i="17" s="1"/>
  <c r="G34" i="17" s="1"/>
  <c r="M34" i="17"/>
  <c r="J34" i="17"/>
  <c r="K34" i="17" s="1"/>
  <c r="L34" i="17" s="1"/>
  <c r="H34" i="17" s="1"/>
  <c r="I34" i="17"/>
  <c r="R33" i="17"/>
  <c r="N33" i="17"/>
  <c r="O33" i="17" s="1"/>
  <c r="P33" i="17" s="1"/>
  <c r="Q33" i="17" s="1"/>
  <c r="G33" i="17" s="1"/>
  <c r="M33" i="17"/>
  <c r="I33" i="17"/>
  <c r="J33" i="17" s="1"/>
  <c r="K33" i="17" s="1"/>
  <c r="L33" i="17" s="1"/>
  <c r="H33" i="17"/>
  <c r="R32" i="17"/>
  <c r="N32" i="17"/>
  <c r="O32" i="17" s="1"/>
  <c r="P32" i="17" s="1"/>
  <c r="Q32" i="17" s="1"/>
  <c r="G32" i="17" s="1"/>
  <c r="M32" i="17"/>
  <c r="K32" i="17"/>
  <c r="L32" i="17" s="1"/>
  <c r="H32" i="17" s="1"/>
  <c r="I32" i="17"/>
  <c r="J32" i="17" s="1"/>
  <c r="R31" i="17"/>
  <c r="N31" i="17"/>
  <c r="O31" i="17" s="1"/>
  <c r="P31" i="17" s="1"/>
  <c r="Q31" i="17" s="1"/>
  <c r="G31" i="17" s="1"/>
  <c r="M31" i="17"/>
  <c r="I31" i="17"/>
  <c r="J31" i="17" s="1"/>
  <c r="K31" i="17" s="1"/>
  <c r="L31" i="17" s="1"/>
  <c r="H31" i="17" s="1"/>
  <c r="R30" i="17"/>
  <c r="O30" i="17"/>
  <c r="P30" i="17" s="1"/>
  <c r="Q30" i="17" s="1"/>
  <c r="G30" i="17" s="1"/>
  <c r="N30" i="17"/>
  <c r="M30" i="17"/>
  <c r="I30" i="17"/>
  <c r="J30" i="17" s="1"/>
  <c r="K30" i="17" s="1"/>
  <c r="L30" i="17" s="1"/>
  <c r="H30" i="17"/>
  <c r="R29" i="17"/>
  <c r="N29" i="17"/>
  <c r="O29" i="17" s="1"/>
  <c r="P29" i="17" s="1"/>
  <c r="Q29" i="17" s="1"/>
  <c r="G29" i="17" s="1"/>
  <c r="M29" i="17"/>
  <c r="I29" i="17"/>
  <c r="J29" i="17" s="1"/>
  <c r="K29" i="17" s="1"/>
  <c r="L29" i="17" s="1"/>
  <c r="H29" i="17" s="1"/>
  <c r="R28" i="17"/>
  <c r="P28" i="17"/>
  <c r="Q28" i="17" s="1"/>
  <c r="G28" i="17" s="1"/>
  <c r="N28" i="17"/>
  <c r="O28" i="17" s="1"/>
  <c r="M28" i="17"/>
  <c r="I28" i="17"/>
  <c r="J28" i="17" s="1"/>
  <c r="K28" i="17" s="1"/>
  <c r="L28" i="17" s="1"/>
  <c r="H28" i="17" s="1"/>
  <c r="R27" i="17"/>
  <c r="N27" i="17"/>
  <c r="O27" i="17" s="1"/>
  <c r="P27" i="17" s="1"/>
  <c r="Q27" i="17" s="1"/>
  <c r="G27" i="17" s="1"/>
  <c r="M27" i="17"/>
  <c r="I27" i="17"/>
  <c r="J27" i="17" s="1"/>
  <c r="K27" i="17" s="1"/>
  <c r="L27" i="17" s="1"/>
  <c r="H27" i="17"/>
  <c r="R26" i="17"/>
  <c r="N26" i="17"/>
  <c r="O26" i="17" s="1"/>
  <c r="P26" i="17" s="1"/>
  <c r="Q26" i="17" s="1"/>
  <c r="G26" i="17" s="1"/>
  <c r="M26" i="17"/>
  <c r="I26" i="17"/>
  <c r="J26" i="17" s="1"/>
  <c r="K26" i="17" s="1"/>
  <c r="L26" i="17" s="1"/>
  <c r="H26" i="17" s="1"/>
  <c r="R25" i="17"/>
  <c r="N25" i="17"/>
  <c r="O25" i="17" s="1"/>
  <c r="P25" i="17" s="1"/>
  <c r="Q25" i="17" s="1"/>
  <c r="G25" i="17" s="1"/>
  <c r="M25" i="17"/>
  <c r="J25" i="17"/>
  <c r="K25" i="17" s="1"/>
  <c r="L25" i="17" s="1"/>
  <c r="H25" i="17" s="1"/>
  <c r="I25" i="17"/>
  <c r="R24" i="17"/>
  <c r="N24" i="17"/>
  <c r="O24" i="17" s="1"/>
  <c r="P24" i="17" s="1"/>
  <c r="Q24" i="17" s="1"/>
  <c r="G24" i="17" s="1"/>
  <c r="M24" i="17"/>
  <c r="I24" i="17"/>
  <c r="J24" i="17" s="1"/>
  <c r="K24" i="17" s="1"/>
  <c r="L24" i="17" s="1"/>
  <c r="H24" i="17"/>
  <c r="R23" i="17"/>
  <c r="N23" i="17"/>
  <c r="O23" i="17" s="1"/>
  <c r="P23" i="17" s="1"/>
  <c r="Q23" i="17" s="1"/>
  <c r="G23" i="17" s="1"/>
  <c r="M23" i="17"/>
  <c r="K23" i="17"/>
  <c r="L23" i="17" s="1"/>
  <c r="H23" i="17" s="1"/>
  <c r="I23" i="17"/>
  <c r="J23" i="17" s="1"/>
  <c r="R22" i="17"/>
  <c r="N22" i="17"/>
  <c r="O22" i="17" s="1"/>
  <c r="P22" i="17" s="1"/>
  <c r="Q22" i="17" s="1"/>
  <c r="G22" i="17" s="1"/>
  <c r="M22" i="17"/>
  <c r="I22" i="17"/>
  <c r="J22" i="17" s="1"/>
  <c r="K22" i="17" s="1"/>
  <c r="L22" i="17" s="1"/>
  <c r="H22" i="17" s="1"/>
  <c r="R21" i="17"/>
  <c r="O21" i="17"/>
  <c r="P21" i="17" s="1"/>
  <c r="Q21" i="17" s="1"/>
  <c r="G21" i="17" s="1"/>
  <c r="N21" i="17"/>
  <c r="M21" i="17"/>
  <c r="I21" i="17"/>
  <c r="J21" i="17" s="1"/>
  <c r="K21" i="17" s="1"/>
  <c r="L21" i="17" s="1"/>
  <c r="H21" i="17"/>
  <c r="R20" i="17"/>
  <c r="N20" i="17"/>
  <c r="O20" i="17" s="1"/>
  <c r="P20" i="17" s="1"/>
  <c r="Q20" i="17" s="1"/>
  <c r="G20" i="17" s="1"/>
  <c r="M20" i="17"/>
  <c r="I20" i="17"/>
  <c r="J20" i="17" s="1"/>
  <c r="K20" i="17" s="1"/>
  <c r="L20" i="17" s="1"/>
  <c r="H20" i="17" s="1"/>
  <c r="R19" i="17"/>
  <c r="P19" i="17"/>
  <c r="Q19" i="17" s="1"/>
  <c r="G19" i="17" s="1"/>
  <c r="N19" i="17"/>
  <c r="O19" i="17" s="1"/>
  <c r="M19" i="17"/>
  <c r="I19" i="17"/>
  <c r="J19" i="17" s="1"/>
  <c r="K19" i="17" s="1"/>
  <c r="L19" i="17" s="1"/>
  <c r="H19" i="17" s="1"/>
  <c r="R18" i="17"/>
  <c r="N18" i="17"/>
  <c r="O18" i="17" s="1"/>
  <c r="P18" i="17" s="1"/>
  <c r="Q18" i="17" s="1"/>
  <c r="G18" i="17" s="1"/>
  <c r="M18" i="17"/>
  <c r="I18" i="17"/>
  <c r="J18" i="17" s="1"/>
  <c r="K18" i="17" s="1"/>
  <c r="L18" i="17" s="1"/>
  <c r="H18" i="17"/>
  <c r="R17" i="17"/>
  <c r="N17" i="17"/>
  <c r="O17" i="17" s="1"/>
  <c r="P17" i="17" s="1"/>
  <c r="Q17" i="17" s="1"/>
  <c r="G17" i="17" s="1"/>
  <c r="M17" i="17"/>
  <c r="I17" i="17"/>
  <c r="J17" i="17" s="1"/>
  <c r="K17" i="17" s="1"/>
  <c r="L17" i="17" s="1"/>
  <c r="H17" i="17" s="1"/>
  <c r="R16" i="17"/>
  <c r="N16" i="17"/>
  <c r="O16" i="17" s="1"/>
  <c r="P16" i="17" s="1"/>
  <c r="Q16" i="17" s="1"/>
  <c r="G16" i="17" s="1"/>
  <c r="M16" i="17"/>
  <c r="J16" i="17"/>
  <c r="K16" i="17" s="1"/>
  <c r="L16" i="17" s="1"/>
  <c r="H16" i="17" s="1"/>
  <c r="I16" i="17"/>
  <c r="R15" i="17"/>
  <c r="N15" i="17"/>
  <c r="O15" i="17" s="1"/>
  <c r="P15" i="17" s="1"/>
  <c r="Q15" i="17" s="1"/>
  <c r="G15" i="17" s="1"/>
  <c r="M15" i="17"/>
  <c r="I15" i="17"/>
  <c r="J15" i="17" s="1"/>
  <c r="K15" i="17" s="1"/>
  <c r="L15" i="17" s="1"/>
  <c r="H15" i="17" s="1"/>
  <c r="R14" i="17"/>
  <c r="N14" i="17"/>
  <c r="O14" i="17" s="1"/>
  <c r="P14" i="17" s="1"/>
  <c r="Q14" i="17" s="1"/>
  <c r="M14" i="17"/>
  <c r="I14" i="17"/>
  <c r="J14" i="17" s="1"/>
  <c r="K14" i="17" s="1"/>
  <c r="L14" i="17" s="1"/>
  <c r="H14" i="17"/>
  <c r="R13" i="17"/>
  <c r="N13" i="17"/>
  <c r="O13" i="17" s="1"/>
  <c r="P13" i="17" s="1"/>
  <c r="Q13" i="17" s="1"/>
  <c r="G13" i="17" s="1"/>
  <c r="M13" i="17"/>
  <c r="I13" i="17"/>
  <c r="J13" i="17" s="1"/>
  <c r="K13" i="17" s="1"/>
  <c r="L13" i="17" s="1"/>
  <c r="H13" i="17" s="1"/>
  <c r="R12" i="17"/>
  <c r="N12" i="17"/>
  <c r="O12" i="17" s="1"/>
  <c r="P12" i="17" s="1"/>
  <c r="Q12" i="17" s="1"/>
  <c r="G12" i="17" s="1"/>
  <c r="M12" i="17"/>
  <c r="I12" i="17"/>
  <c r="J12" i="17" s="1"/>
  <c r="K12" i="17" s="1"/>
  <c r="L12" i="17" s="1"/>
  <c r="H12" i="17" s="1"/>
  <c r="R11" i="17"/>
  <c r="N11" i="17"/>
  <c r="O11" i="17" s="1"/>
  <c r="P11" i="17" s="1"/>
  <c r="Q11" i="17" s="1"/>
  <c r="M11" i="17"/>
  <c r="I11" i="17"/>
  <c r="J11" i="17" s="1"/>
  <c r="K11" i="17" s="1"/>
  <c r="L11" i="17" s="1"/>
  <c r="H11" i="17" s="1"/>
  <c r="R10" i="17"/>
  <c r="N10" i="17"/>
  <c r="O10" i="17" s="1"/>
  <c r="P10" i="17" s="1"/>
  <c r="Q10" i="17" s="1"/>
  <c r="G10" i="17" s="1"/>
  <c r="M10" i="17"/>
  <c r="I10" i="17"/>
  <c r="J10" i="17" s="1"/>
  <c r="K10" i="17" s="1"/>
  <c r="L10" i="17" s="1"/>
  <c r="H10" i="17" s="1"/>
  <c r="R9" i="17"/>
  <c r="N9" i="17"/>
  <c r="O9" i="17" s="1"/>
  <c r="P9" i="17" s="1"/>
  <c r="Q9" i="17" s="1"/>
  <c r="G9" i="17" s="1"/>
  <c r="M9" i="17"/>
  <c r="I9" i="17"/>
  <c r="J9" i="17" s="1"/>
  <c r="K9" i="17" s="1"/>
  <c r="L9" i="17" s="1"/>
  <c r="R8" i="17"/>
  <c r="N8" i="17"/>
  <c r="O8" i="17" s="1"/>
  <c r="P8" i="17" s="1"/>
  <c r="Q8" i="17" s="1"/>
  <c r="G8" i="17" s="1"/>
  <c r="M8" i="17"/>
  <c r="I8" i="17"/>
  <c r="J8" i="17" s="1"/>
  <c r="K8" i="17" s="1"/>
  <c r="L8" i="17" s="1"/>
  <c r="H8" i="17" s="1"/>
  <c r="R7" i="17"/>
  <c r="N7" i="17"/>
  <c r="O7" i="17" s="1"/>
  <c r="P7" i="17" s="1"/>
  <c r="Q7" i="17" s="1"/>
  <c r="M7" i="17"/>
  <c r="I7" i="17"/>
  <c r="J7" i="17" s="1"/>
  <c r="K7" i="17" s="1"/>
  <c r="L7" i="17" s="1"/>
  <c r="H7" i="17" s="1"/>
  <c r="R6" i="17"/>
  <c r="N6" i="17"/>
  <c r="O6" i="17" s="1"/>
  <c r="P6" i="17" s="1"/>
  <c r="Q6" i="17" s="1"/>
  <c r="G6" i="17" s="1"/>
  <c r="M6" i="17"/>
  <c r="I6" i="17"/>
  <c r="J6" i="17" s="1"/>
  <c r="K6" i="17" s="1"/>
  <c r="L6" i="17" s="1"/>
  <c r="R5" i="17"/>
  <c r="N5" i="17"/>
  <c r="O5" i="17" s="1"/>
  <c r="M5" i="17"/>
  <c r="I5" i="17"/>
  <c r="J5" i="17" s="1"/>
  <c r="K5" i="17" s="1"/>
  <c r="L5" i="17" s="1"/>
  <c r="H5" i="17" s="1"/>
  <c r="R4" i="17"/>
  <c r="N4" i="17"/>
  <c r="O4" i="17" s="1"/>
  <c r="P4" i="17" s="1"/>
  <c r="M4" i="17"/>
  <c r="I4" i="17"/>
  <c r="J4" i="17" s="1"/>
  <c r="K4" i="17" s="1"/>
  <c r="F1" i="17"/>
  <c r="E1" i="17"/>
  <c r="D1" i="17"/>
  <c r="C1" i="17"/>
  <c r="B1" i="17"/>
  <c r="Q4" i="18" l="1"/>
  <c r="P3" i="18"/>
  <c r="L4" i="18"/>
  <c r="K3" i="18"/>
  <c r="O3" i="17"/>
  <c r="R3" i="17"/>
  <c r="G14" i="17"/>
  <c r="G11" i="17"/>
  <c r="H9" i="17"/>
  <c r="G7" i="17"/>
  <c r="H6" i="17"/>
  <c r="M3" i="17"/>
  <c r="G1" i="17"/>
  <c r="P3" i="17"/>
  <c r="Q4" i="17"/>
  <c r="L4" i="17"/>
  <c r="K3" i="17"/>
  <c r="J3" i="17"/>
  <c r="P5" i="17"/>
  <c r="Q5" i="17" s="1"/>
  <c r="G5" i="17" s="1"/>
  <c r="N3" i="17"/>
  <c r="I3" i="17"/>
  <c r="R51" i="16"/>
  <c r="N51" i="16"/>
  <c r="O51" i="16" s="1"/>
  <c r="P51" i="16" s="1"/>
  <c r="Q51" i="16" s="1"/>
  <c r="G51" i="16" s="1"/>
  <c r="M51" i="16"/>
  <c r="I51" i="16"/>
  <c r="J51" i="16" s="1"/>
  <c r="K51" i="16" s="1"/>
  <c r="L51" i="16" s="1"/>
  <c r="H51" i="16" s="1"/>
  <c r="R50" i="16"/>
  <c r="N50" i="16"/>
  <c r="O50" i="16" s="1"/>
  <c r="P50" i="16" s="1"/>
  <c r="Q50" i="16" s="1"/>
  <c r="G50" i="16" s="1"/>
  <c r="M50" i="16"/>
  <c r="I50" i="16"/>
  <c r="J50" i="16" s="1"/>
  <c r="K50" i="16" s="1"/>
  <c r="L50" i="16" s="1"/>
  <c r="H50" i="16" s="1"/>
  <c r="R49" i="16"/>
  <c r="N49" i="16"/>
  <c r="O49" i="16" s="1"/>
  <c r="P49" i="16" s="1"/>
  <c r="Q49" i="16" s="1"/>
  <c r="G49" i="16" s="1"/>
  <c r="M49" i="16"/>
  <c r="J49" i="16"/>
  <c r="K49" i="16" s="1"/>
  <c r="L49" i="16" s="1"/>
  <c r="H49" i="16" s="1"/>
  <c r="I49" i="16"/>
  <c r="R48" i="16"/>
  <c r="N48" i="16"/>
  <c r="O48" i="16" s="1"/>
  <c r="P48" i="16" s="1"/>
  <c r="Q48" i="16" s="1"/>
  <c r="G48" i="16" s="1"/>
  <c r="M48" i="16"/>
  <c r="I48" i="16"/>
  <c r="J48" i="16" s="1"/>
  <c r="K48" i="16" s="1"/>
  <c r="L48" i="16" s="1"/>
  <c r="H48" i="16" s="1"/>
  <c r="R47" i="16"/>
  <c r="N47" i="16"/>
  <c r="O47" i="16" s="1"/>
  <c r="P47" i="16" s="1"/>
  <c r="Q47" i="16" s="1"/>
  <c r="G47" i="16" s="1"/>
  <c r="M47" i="16"/>
  <c r="I47" i="16"/>
  <c r="J47" i="16" s="1"/>
  <c r="K47" i="16" s="1"/>
  <c r="L47" i="16" s="1"/>
  <c r="H47" i="16" s="1"/>
  <c r="R46" i="16"/>
  <c r="N46" i="16"/>
  <c r="O46" i="16" s="1"/>
  <c r="P46" i="16" s="1"/>
  <c r="Q46" i="16" s="1"/>
  <c r="G46" i="16" s="1"/>
  <c r="M46" i="16"/>
  <c r="I46" i="16"/>
  <c r="J46" i="16" s="1"/>
  <c r="K46" i="16" s="1"/>
  <c r="L46" i="16" s="1"/>
  <c r="H46" i="16" s="1"/>
  <c r="R45" i="16"/>
  <c r="N45" i="16"/>
  <c r="O45" i="16" s="1"/>
  <c r="P45" i="16" s="1"/>
  <c r="Q45" i="16" s="1"/>
  <c r="G45" i="16" s="1"/>
  <c r="M45" i="16"/>
  <c r="I45" i="16"/>
  <c r="J45" i="16" s="1"/>
  <c r="K45" i="16" s="1"/>
  <c r="L45" i="16" s="1"/>
  <c r="H45" i="16"/>
  <c r="R44" i="16"/>
  <c r="N44" i="16"/>
  <c r="O44" i="16" s="1"/>
  <c r="P44" i="16" s="1"/>
  <c r="Q44" i="16" s="1"/>
  <c r="G44" i="16" s="1"/>
  <c r="M44" i="16"/>
  <c r="I44" i="16"/>
  <c r="J44" i="16" s="1"/>
  <c r="K44" i="16" s="1"/>
  <c r="L44" i="16" s="1"/>
  <c r="H44" i="16" s="1"/>
  <c r="R43" i="16"/>
  <c r="N43" i="16"/>
  <c r="O43" i="16" s="1"/>
  <c r="P43" i="16" s="1"/>
  <c r="Q43" i="16" s="1"/>
  <c r="G43" i="16" s="1"/>
  <c r="M43" i="16"/>
  <c r="I43" i="16"/>
  <c r="J43" i="16" s="1"/>
  <c r="K43" i="16" s="1"/>
  <c r="L43" i="16" s="1"/>
  <c r="H43" i="16" s="1"/>
  <c r="R42" i="16"/>
  <c r="N42" i="16"/>
  <c r="O42" i="16" s="1"/>
  <c r="P42" i="16" s="1"/>
  <c r="Q42" i="16" s="1"/>
  <c r="G42" i="16" s="1"/>
  <c r="M42" i="16"/>
  <c r="I42" i="16"/>
  <c r="J42" i="16" s="1"/>
  <c r="K42" i="16" s="1"/>
  <c r="L42" i="16" s="1"/>
  <c r="H42" i="16"/>
  <c r="R41" i="16"/>
  <c r="N41" i="16"/>
  <c r="O41" i="16" s="1"/>
  <c r="P41" i="16" s="1"/>
  <c r="Q41" i="16" s="1"/>
  <c r="G41" i="16" s="1"/>
  <c r="M41" i="16"/>
  <c r="I41" i="16"/>
  <c r="J41" i="16" s="1"/>
  <c r="K41" i="16" s="1"/>
  <c r="L41" i="16" s="1"/>
  <c r="H41" i="16" s="1"/>
  <c r="R40" i="16"/>
  <c r="N40" i="16"/>
  <c r="O40" i="16" s="1"/>
  <c r="P40" i="16" s="1"/>
  <c r="Q40" i="16" s="1"/>
  <c r="G40" i="16" s="1"/>
  <c r="M40" i="16"/>
  <c r="I40" i="16"/>
  <c r="J40" i="16" s="1"/>
  <c r="K40" i="16" s="1"/>
  <c r="L40" i="16" s="1"/>
  <c r="H40" i="16" s="1"/>
  <c r="R39" i="16"/>
  <c r="N39" i="16"/>
  <c r="O39" i="16" s="1"/>
  <c r="P39" i="16" s="1"/>
  <c r="Q39" i="16" s="1"/>
  <c r="G39" i="16" s="1"/>
  <c r="M39" i="16"/>
  <c r="I39" i="16"/>
  <c r="J39" i="16" s="1"/>
  <c r="K39" i="16" s="1"/>
  <c r="L39" i="16" s="1"/>
  <c r="H39" i="16" s="1"/>
  <c r="R38" i="16"/>
  <c r="N38" i="16"/>
  <c r="O38" i="16" s="1"/>
  <c r="P38" i="16" s="1"/>
  <c r="Q38" i="16" s="1"/>
  <c r="G38" i="16" s="1"/>
  <c r="M38" i="16"/>
  <c r="I38" i="16"/>
  <c r="J38" i="16" s="1"/>
  <c r="K38" i="16" s="1"/>
  <c r="L38" i="16" s="1"/>
  <c r="H38" i="16" s="1"/>
  <c r="R37" i="16"/>
  <c r="N37" i="16"/>
  <c r="O37" i="16" s="1"/>
  <c r="P37" i="16" s="1"/>
  <c r="Q37" i="16" s="1"/>
  <c r="G37" i="16" s="1"/>
  <c r="M37" i="16"/>
  <c r="I37" i="16"/>
  <c r="J37" i="16" s="1"/>
  <c r="K37" i="16" s="1"/>
  <c r="L37" i="16" s="1"/>
  <c r="H37" i="16" s="1"/>
  <c r="R36" i="16"/>
  <c r="N36" i="16"/>
  <c r="O36" i="16" s="1"/>
  <c r="P36" i="16" s="1"/>
  <c r="Q36" i="16" s="1"/>
  <c r="G36" i="16" s="1"/>
  <c r="M36" i="16"/>
  <c r="I36" i="16"/>
  <c r="J36" i="16" s="1"/>
  <c r="K36" i="16" s="1"/>
  <c r="L36" i="16" s="1"/>
  <c r="H36" i="16"/>
  <c r="R35" i="16"/>
  <c r="N35" i="16"/>
  <c r="O35" i="16" s="1"/>
  <c r="P35" i="16" s="1"/>
  <c r="Q35" i="16" s="1"/>
  <c r="G35" i="16" s="1"/>
  <c r="M35" i="16"/>
  <c r="I35" i="16"/>
  <c r="J35" i="16" s="1"/>
  <c r="K35" i="16" s="1"/>
  <c r="L35" i="16" s="1"/>
  <c r="H35" i="16" s="1"/>
  <c r="R34" i="16"/>
  <c r="N34" i="16"/>
  <c r="O34" i="16" s="1"/>
  <c r="P34" i="16" s="1"/>
  <c r="Q34" i="16" s="1"/>
  <c r="G34" i="16" s="1"/>
  <c r="M34" i="16"/>
  <c r="I34" i="16"/>
  <c r="J34" i="16" s="1"/>
  <c r="K34" i="16" s="1"/>
  <c r="L34" i="16" s="1"/>
  <c r="H34" i="16" s="1"/>
  <c r="R33" i="16"/>
  <c r="N33" i="16"/>
  <c r="O33" i="16" s="1"/>
  <c r="P33" i="16" s="1"/>
  <c r="Q33" i="16" s="1"/>
  <c r="G33" i="16" s="1"/>
  <c r="M33" i="16"/>
  <c r="I33" i="16"/>
  <c r="J33" i="16" s="1"/>
  <c r="K33" i="16" s="1"/>
  <c r="L33" i="16" s="1"/>
  <c r="H33" i="16"/>
  <c r="R32" i="16"/>
  <c r="N32" i="16"/>
  <c r="O32" i="16" s="1"/>
  <c r="P32" i="16" s="1"/>
  <c r="Q32" i="16" s="1"/>
  <c r="G32" i="16" s="1"/>
  <c r="M32" i="16"/>
  <c r="I32" i="16"/>
  <c r="J32" i="16" s="1"/>
  <c r="K32" i="16" s="1"/>
  <c r="L32" i="16" s="1"/>
  <c r="H32" i="16" s="1"/>
  <c r="R31" i="16"/>
  <c r="N31" i="16"/>
  <c r="O31" i="16" s="1"/>
  <c r="P31" i="16" s="1"/>
  <c r="Q31" i="16" s="1"/>
  <c r="G31" i="16" s="1"/>
  <c r="M31" i="16"/>
  <c r="I31" i="16"/>
  <c r="J31" i="16" s="1"/>
  <c r="K31" i="16" s="1"/>
  <c r="L31" i="16" s="1"/>
  <c r="H31" i="16" s="1"/>
  <c r="R30" i="16"/>
  <c r="N30" i="16"/>
  <c r="O30" i="16" s="1"/>
  <c r="P30" i="16" s="1"/>
  <c r="Q30" i="16" s="1"/>
  <c r="G30" i="16" s="1"/>
  <c r="M30" i="16"/>
  <c r="I30" i="16"/>
  <c r="J30" i="16" s="1"/>
  <c r="K30" i="16" s="1"/>
  <c r="L30" i="16" s="1"/>
  <c r="H30" i="16" s="1"/>
  <c r="R29" i="16"/>
  <c r="N29" i="16"/>
  <c r="O29" i="16" s="1"/>
  <c r="P29" i="16" s="1"/>
  <c r="Q29" i="16" s="1"/>
  <c r="G29" i="16" s="1"/>
  <c r="M29" i="16"/>
  <c r="I29" i="16"/>
  <c r="J29" i="16" s="1"/>
  <c r="K29" i="16" s="1"/>
  <c r="L29" i="16" s="1"/>
  <c r="H29" i="16" s="1"/>
  <c r="R28" i="16"/>
  <c r="N28" i="16"/>
  <c r="O28" i="16" s="1"/>
  <c r="P28" i="16" s="1"/>
  <c r="Q28" i="16" s="1"/>
  <c r="G28" i="16" s="1"/>
  <c r="M28" i="16"/>
  <c r="I28" i="16"/>
  <c r="J28" i="16" s="1"/>
  <c r="K28" i="16" s="1"/>
  <c r="L28" i="16" s="1"/>
  <c r="H28" i="16" s="1"/>
  <c r="R27" i="16"/>
  <c r="N27" i="16"/>
  <c r="O27" i="16" s="1"/>
  <c r="P27" i="16" s="1"/>
  <c r="Q27" i="16" s="1"/>
  <c r="G27" i="16" s="1"/>
  <c r="M27" i="16"/>
  <c r="I27" i="16"/>
  <c r="J27" i="16" s="1"/>
  <c r="K27" i="16" s="1"/>
  <c r="L27" i="16" s="1"/>
  <c r="H27" i="16"/>
  <c r="R26" i="16"/>
  <c r="N26" i="16"/>
  <c r="O26" i="16" s="1"/>
  <c r="P26" i="16" s="1"/>
  <c r="Q26" i="16" s="1"/>
  <c r="G26" i="16" s="1"/>
  <c r="M26" i="16"/>
  <c r="I26" i="16"/>
  <c r="J26" i="16" s="1"/>
  <c r="K26" i="16" s="1"/>
  <c r="L26" i="16" s="1"/>
  <c r="H26" i="16" s="1"/>
  <c r="R25" i="16"/>
  <c r="N25" i="16"/>
  <c r="O25" i="16" s="1"/>
  <c r="P25" i="16" s="1"/>
  <c r="Q25" i="16" s="1"/>
  <c r="G25" i="16" s="1"/>
  <c r="M25" i="16"/>
  <c r="I25" i="16"/>
  <c r="J25" i="16" s="1"/>
  <c r="K25" i="16" s="1"/>
  <c r="L25" i="16" s="1"/>
  <c r="H25" i="16" s="1"/>
  <c r="R24" i="16"/>
  <c r="N24" i="16"/>
  <c r="O24" i="16" s="1"/>
  <c r="P24" i="16" s="1"/>
  <c r="Q24" i="16" s="1"/>
  <c r="G24" i="16" s="1"/>
  <c r="M24" i="16"/>
  <c r="I24" i="16"/>
  <c r="J24" i="16" s="1"/>
  <c r="K24" i="16" s="1"/>
  <c r="L24" i="16" s="1"/>
  <c r="H24" i="16"/>
  <c r="R23" i="16"/>
  <c r="N23" i="16"/>
  <c r="O23" i="16" s="1"/>
  <c r="P23" i="16" s="1"/>
  <c r="Q23" i="16" s="1"/>
  <c r="G23" i="16" s="1"/>
  <c r="M23" i="16"/>
  <c r="I23" i="16"/>
  <c r="J23" i="16" s="1"/>
  <c r="K23" i="16" s="1"/>
  <c r="L23" i="16" s="1"/>
  <c r="H23" i="16" s="1"/>
  <c r="R22" i="16"/>
  <c r="N22" i="16"/>
  <c r="O22" i="16" s="1"/>
  <c r="P22" i="16" s="1"/>
  <c r="Q22" i="16" s="1"/>
  <c r="G22" i="16" s="1"/>
  <c r="M22" i="16"/>
  <c r="I22" i="16"/>
  <c r="J22" i="16" s="1"/>
  <c r="K22" i="16" s="1"/>
  <c r="L22" i="16" s="1"/>
  <c r="H22" i="16" s="1"/>
  <c r="R21" i="16"/>
  <c r="N21" i="16"/>
  <c r="O21" i="16" s="1"/>
  <c r="P21" i="16" s="1"/>
  <c r="Q21" i="16" s="1"/>
  <c r="G21" i="16" s="1"/>
  <c r="M21" i="16"/>
  <c r="I21" i="16"/>
  <c r="J21" i="16" s="1"/>
  <c r="K21" i="16" s="1"/>
  <c r="L21" i="16" s="1"/>
  <c r="H21" i="16" s="1"/>
  <c r="R20" i="16"/>
  <c r="N20" i="16"/>
  <c r="O20" i="16" s="1"/>
  <c r="P20" i="16" s="1"/>
  <c r="Q20" i="16" s="1"/>
  <c r="G20" i="16" s="1"/>
  <c r="M20" i="16"/>
  <c r="I20" i="16"/>
  <c r="J20" i="16" s="1"/>
  <c r="K20" i="16" s="1"/>
  <c r="L20" i="16" s="1"/>
  <c r="H20" i="16" s="1"/>
  <c r="R19" i="16"/>
  <c r="N19" i="16"/>
  <c r="O19" i="16" s="1"/>
  <c r="P19" i="16" s="1"/>
  <c r="Q19" i="16" s="1"/>
  <c r="G19" i="16" s="1"/>
  <c r="M19" i="16"/>
  <c r="I19" i="16"/>
  <c r="J19" i="16" s="1"/>
  <c r="K19" i="16" s="1"/>
  <c r="L19" i="16" s="1"/>
  <c r="H19" i="16" s="1"/>
  <c r="R18" i="16"/>
  <c r="N18" i="16"/>
  <c r="O18" i="16" s="1"/>
  <c r="P18" i="16" s="1"/>
  <c r="Q18" i="16" s="1"/>
  <c r="G18" i="16" s="1"/>
  <c r="M18" i="16"/>
  <c r="I18" i="16"/>
  <c r="J18" i="16" s="1"/>
  <c r="K18" i="16" s="1"/>
  <c r="L18" i="16" s="1"/>
  <c r="H18" i="16"/>
  <c r="R17" i="16"/>
  <c r="N17" i="16"/>
  <c r="O17" i="16" s="1"/>
  <c r="P17" i="16" s="1"/>
  <c r="Q17" i="16" s="1"/>
  <c r="G17" i="16" s="1"/>
  <c r="M17" i="16"/>
  <c r="I17" i="16"/>
  <c r="J17" i="16" s="1"/>
  <c r="K17" i="16" s="1"/>
  <c r="L17" i="16" s="1"/>
  <c r="H17" i="16" s="1"/>
  <c r="R16" i="16"/>
  <c r="N16" i="16"/>
  <c r="O16" i="16" s="1"/>
  <c r="P16" i="16" s="1"/>
  <c r="Q16" i="16" s="1"/>
  <c r="G16" i="16" s="1"/>
  <c r="M16" i="16"/>
  <c r="I16" i="16"/>
  <c r="J16" i="16" s="1"/>
  <c r="K16" i="16" s="1"/>
  <c r="L16" i="16" s="1"/>
  <c r="H16" i="16" s="1"/>
  <c r="R15" i="16"/>
  <c r="N15" i="16"/>
  <c r="O15" i="16" s="1"/>
  <c r="P15" i="16" s="1"/>
  <c r="Q15" i="16" s="1"/>
  <c r="G15" i="16" s="1"/>
  <c r="M15" i="16"/>
  <c r="I15" i="16"/>
  <c r="J15" i="16" s="1"/>
  <c r="K15" i="16" s="1"/>
  <c r="L15" i="16" s="1"/>
  <c r="H15" i="16" s="1"/>
  <c r="R14" i="16"/>
  <c r="N14" i="16"/>
  <c r="O14" i="16" s="1"/>
  <c r="P14" i="16" s="1"/>
  <c r="Q14" i="16" s="1"/>
  <c r="G14" i="16" s="1"/>
  <c r="M14" i="16"/>
  <c r="I14" i="16"/>
  <c r="J14" i="16" s="1"/>
  <c r="K14" i="16" s="1"/>
  <c r="L14" i="16" s="1"/>
  <c r="H14" i="16" s="1"/>
  <c r="R13" i="16"/>
  <c r="N13" i="16"/>
  <c r="O13" i="16" s="1"/>
  <c r="P13" i="16" s="1"/>
  <c r="Q13" i="16" s="1"/>
  <c r="G13" i="16" s="1"/>
  <c r="M13" i="16"/>
  <c r="I13" i="16"/>
  <c r="J13" i="16" s="1"/>
  <c r="K13" i="16" s="1"/>
  <c r="L13" i="16" s="1"/>
  <c r="H13" i="16" s="1"/>
  <c r="R12" i="16"/>
  <c r="N12" i="16"/>
  <c r="O12" i="16" s="1"/>
  <c r="P12" i="16" s="1"/>
  <c r="Q12" i="16" s="1"/>
  <c r="M12" i="16"/>
  <c r="I12" i="16"/>
  <c r="J12" i="16" s="1"/>
  <c r="K12" i="16" s="1"/>
  <c r="L12" i="16" s="1"/>
  <c r="H12" i="16" s="1"/>
  <c r="R11" i="16"/>
  <c r="N11" i="16"/>
  <c r="O11" i="16" s="1"/>
  <c r="P11" i="16" s="1"/>
  <c r="Q11" i="16" s="1"/>
  <c r="G11" i="16" s="1"/>
  <c r="M11" i="16"/>
  <c r="J11" i="16"/>
  <c r="K11" i="16" s="1"/>
  <c r="L11" i="16" s="1"/>
  <c r="H11" i="16" s="1"/>
  <c r="I11" i="16"/>
  <c r="R10" i="16"/>
  <c r="N10" i="16"/>
  <c r="O10" i="16" s="1"/>
  <c r="P10" i="16" s="1"/>
  <c r="Q10" i="16" s="1"/>
  <c r="G10" i="16" s="1"/>
  <c r="M10" i="16"/>
  <c r="I10" i="16"/>
  <c r="J10" i="16" s="1"/>
  <c r="K10" i="16" s="1"/>
  <c r="L10" i="16" s="1"/>
  <c r="H10" i="16" s="1"/>
  <c r="R9" i="16"/>
  <c r="N9" i="16"/>
  <c r="O9" i="16" s="1"/>
  <c r="P9" i="16" s="1"/>
  <c r="Q9" i="16" s="1"/>
  <c r="G9" i="16" s="1"/>
  <c r="M9" i="16"/>
  <c r="I9" i="16"/>
  <c r="J9" i="16" s="1"/>
  <c r="K9" i="16" s="1"/>
  <c r="L9" i="16" s="1"/>
  <c r="R8" i="16"/>
  <c r="N8" i="16"/>
  <c r="O8" i="16" s="1"/>
  <c r="M8" i="16"/>
  <c r="I8" i="16"/>
  <c r="J8" i="16" s="1"/>
  <c r="K8" i="16" s="1"/>
  <c r="L8" i="16" s="1"/>
  <c r="H8" i="16" s="1"/>
  <c r="R7" i="16"/>
  <c r="N7" i="16"/>
  <c r="O7" i="16" s="1"/>
  <c r="P7" i="16" s="1"/>
  <c r="Q7" i="16" s="1"/>
  <c r="G7" i="16" s="1"/>
  <c r="M7" i="16"/>
  <c r="I7" i="16"/>
  <c r="J7" i="16" s="1"/>
  <c r="K7" i="16" s="1"/>
  <c r="L7" i="16" s="1"/>
  <c r="R6" i="16"/>
  <c r="N6" i="16"/>
  <c r="O6" i="16" s="1"/>
  <c r="P6" i="16" s="1"/>
  <c r="Q6" i="16" s="1"/>
  <c r="M6" i="16"/>
  <c r="I6" i="16"/>
  <c r="J6" i="16" s="1"/>
  <c r="K6" i="16" s="1"/>
  <c r="L6" i="16" s="1"/>
  <c r="H6" i="16" s="1"/>
  <c r="R5" i="16"/>
  <c r="N5" i="16"/>
  <c r="O5" i="16" s="1"/>
  <c r="P5" i="16" s="1"/>
  <c r="Q5" i="16" s="1"/>
  <c r="G5" i="16" s="1"/>
  <c r="M5" i="16"/>
  <c r="I5" i="16"/>
  <c r="J5" i="16" s="1"/>
  <c r="K5" i="16" s="1"/>
  <c r="L5" i="16" s="1"/>
  <c r="H5" i="16" s="1"/>
  <c r="R4" i="16"/>
  <c r="N4" i="16"/>
  <c r="O4" i="16" s="1"/>
  <c r="P4" i="16" s="1"/>
  <c r="M4" i="16"/>
  <c r="I4" i="16"/>
  <c r="J4" i="16" s="1"/>
  <c r="F1" i="16"/>
  <c r="E1" i="16"/>
  <c r="D1" i="16"/>
  <c r="C1" i="16"/>
  <c r="B1" i="16"/>
  <c r="L3" i="18" l="1"/>
  <c r="H3" i="18" s="1"/>
  <c r="H4" i="18"/>
  <c r="G4" i="18"/>
  <c r="Q3" i="18"/>
  <c r="G3" i="18" s="1"/>
  <c r="H4" i="17"/>
  <c r="L3" i="17"/>
  <c r="H3" i="17" s="1"/>
  <c r="G4" i="17"/>
  <c r="Q3" i="17"/>
  <c r="G3" i="17" s="1"/>
  <c r="G12" i="16"/>
  <c r="H7" i="16"/>
  <c r="G6" i="16"/>
  <c r="M3" i="16"/>
  <c r="H9" i="16"/>
  <c r="G1" i="16"/>
  <c r="K4" i="16"/>
  <c r="J3" i="16"/>
  <c r="Q4" i="16"/>
  <c r="P8" i="16"/>
  <c r="Q8" i="16" s="1"/>
  <c r="G8" i="16" s="1"/>
  <c r="O3" i="16"/>
  <c r="I3" i="16"/>
  <c r="R3" i="16"/>
  <c r="N3" i="16"/>
  <c r="R51" i="15"/>
  <c r="O51" i="15"/>
  <c r="P51" i="15" s="1"/>
  <c r="Q51" i="15" s="1"/>
  <c r="G51" i="15" s="1"/>
  <c r="N51" i="15"/>
  <c r="M51" i="15"/>
  <c r="I51" i="15"/>
  <c r="J51" i="15" s="1"/>
  <c r="K51" i="15" s="1"/>
  <c r="L51" i="15" s="1"/>
  <c r="H51" i="15" s="1"/>
  <c r="R50" i="15"/>
  <c r="N50" i="15"/>
  <c r="O50" i="15" s="1"/>
  <c r="P50" i="15" s="1"/>
  <c r="Q50" i="15" s="1"/>
  <c r="G50" i="15" s="1"/>
  <c r="M50" i="15"/>
  <c r="I50" i="15"/>
  <c r="J50" i="15" s="1"/>
  <c r="K50" i="15" s="1"/>
  <c r="L50" i="15" s="1"/>
  <c r="H50" i="15"/>
  <c r="R49" i="15"/>
  <c r="N49" i="15"/>
  <c r="O49" i="15" s="1"/>
  <c r="P49" i="15" s="1"/>
  <c r="Q49" i="15" s="1"/>
  <c r="G49" i="15" s="1"/>
  <c r="M49" i="15"/>
  <c r="J49" i="15"/>
  <c r="K49" i="15" s="1"/>
  <c r="L49" i="15" s="1"/>
  <c r="H49" i="15" s="1"/>
  <c r="I49" i="15"/>
  <c r="R48" i="15"/>
  <c r="O48" i="15"/>
  <c r="P48" i="15" s="1"/>
  <c r="Q48" i="15" s="1"/>
  <c r="G48" i="15" s="1"/>
  <c r="N48" i="15"/>
  <c r="M48" i="15"/>
  <c r="I48" i="15"/>
  <c r="J48" i="15" s="1"/>
  <c r="K48" i="15" s="1"/>
  <c r="L48" i="15" s="1"/>
  <c r="H48" i="15" s="1"/>
  <c r="R47" i="15"/>
  <c r="N47" i="15"/>
  <c r="O47" i="15" s="1"/>
  <c r="P47" i="15" s="1"/>
  <c r="Q47" i="15" s="1"/>
  <c r="G47" i="15" s="1"/>
  <c r="M47" i="15"/>
  <c r="I47" i="15"/>
  <c r="J47" i="15" s="1"/>
  <c r="K47" i="15" s="1"/>
  <c r="L47" i="15" s="1"/>
  <c r="H47" i="15"/>
  <c r="R46" i="15"/>
  <c r="N46" i="15"/>
  <c r="O46" i="15" s="1"/>
  <c r="P46" i="15" s="1"/>
  <c r="Q46" i="15" s="1"/>
  <c r="G46" i="15" s="1"/>
  <c r="M46" i="15"/>
  <c r="J46" i="15"/>
  <c r="K46" i="15" s="1"/>
  <c r="L46" i="15" s="1"/>
  <c r="H46" i="15" s="1"/>
  <c r="I46" i="15"/>
  <c r="R45" i="15"/>
  <c r="O45" i="15"/>
  <c r="P45" i="15" s="1"/>
  <c r="Q45" i="15" s="1"/>
  <c r="G45" i="15" s="1"/>
  <c r="N45" i="15"/>
  <c r="M45" i="15"/>
  <c r="I45" i="15"/>
  <c r="J45" i="15" s="1"/>
  <c r="K45" i="15" s="1"/>
  <c r="L45" i="15" s="1"/>
  <c r="H45" i="15" s="1"/>
  <c r="R44" i="15"/>
  <c r="N44" i="15"/>
  <c r="O44" i="15" s="1"/>
  <c r="P44" i="15" s="1"/>
  <c r="Q44" i="15" s="1"/>
  <c r="G44" i="15" s="1"/>
  <c r="M44" i="15"/>
  <c r="I44" i="15"/>
  <c r="J44" i="15" s="1"/>
  <c r="K44" i="15" s="1"/>
  <c r="L44" i="15" s="1"/>
  <c r="H44" i="15"/>
  <c r="R43" i="15"/>
  <c r="N43" i="15"/>
  <c r="O43" i="15" s="1"/>
  <c r="P43" i="15" s="1"/>
  <c r="Q43" i="15" s="1"/>
  <c r="G43" i="15" s="1"/>
  <c r="M43" i="15"/>
  <c r="J43" i="15"/>
  <c r="K43" i="15" s="1"/>
  <c r="L43" i="15" s="1"/>
  <c r="H43" i="15" s="1"/>
  <c r="I43" i="15"/>
  <c r="R42" i="15"/>
  <c r="O42" i="15"/>
  <c r="P42" i="15" s="1"/>
  <c r="Q42" i="15" s="1"/>
  <c r="G42" i="15" s="1"/>
  <c r="N42" i="15"/>
  <c r="M42" i="15"/>
  <c r="I42" i="15"/>
  <c r="J42" i="15" s="1"/>
  <c r="K42" i="15" s="1"/>
  <c r="L42" i="15" s="1"/>
  <c r="H42" i="15" s="1"/>
  <c r="R41" i="15"/>
  <c r="N41" i="15"/>
  <c r="O41" i="15" s="1"/>
  <c r="P41" i="15" s="1"/>
  <c r="Q41" i="15" s="1"/>
  <c r="G41" i="15" s="1"/>
  <c r="M41" i="15"/>
  <c r="I41" i="15"/>
  <c r="J41" i="15" s="1"/>
  <c r="K41" i="15" s="1"/>
  <c r="L41" i="15" s="1"/>
  <c r="H41" i="15"/>
  <c r="R40" i="15"/>
  <c r="N40" i="15"/>
  <c r="O40" i="15" s="1"/>
  <c r="P40" i="15" s="1"/>
  <c r="Q40" i="15" s="1"/>
  <c r="G40" i="15" s="1"/>
  <c r="M40" i="15"/>
  <c r="J40" i="15"/>
  <c r="K40" i="15" s="1"/>
  <c r="L40" i="15" s="1"/>
  <c r="H40" i="15" s="1"/>
  <c r="I40" i="15"/>
  <c r="R39" i="15"/>
  <c r="O39" i="15"/>
  <c r="P39" i="15" s="1"/>
  <c r="Q39" i="15" s="1"/>
  <c r="G39" i="15" s="1"/>
  <c r="N39" i="15"/>
  <c r="M39" i="15"/>
  <c r="I39" i="15"/>
  <c r="J39" i="15" s="1"/>
  <c r="K39" i="15" s="1"/>
  <c r="L39" i="15" s="1"/>
  <c r="H39" i="15" s="1"/>
  <c r="R38" i="15"/>
  <c r="N38" i="15"/>
  <c r="O38" i="15" s="1"/>
  <c r="P38" i="15" s="1"/>
  <c r="Q38" i="15" s="1"/>
  <c r="G38" i="15" s="1"/>
  <c r="M38" i="15"/>
  <c r="I38" i="15"/>
  <c r="J38" i="15" s="1"/>
  <c r="K38" i="15" s="1"/>
  <c r="L38" i="15" s="1"/>
  <c r="H38" i="15"/>
  <c r="R37" i="15"/>
  <c r="N37" i="15"/>
  <c r="O37" i="15" s="1"/>
  <c r="P37" i="15" s="1"/>
  <c r="Q37" i="15" s="1"/>
  <c r="G37" i="15" s="1"/>
  <c r="M37" i="15"/>
  <c r="J37" i="15"/>
  <c r="K37" i="15" s="1"/>
  <c r="L37" i="15" s="1"/>
  <c r="H37" i="15" s="1"/>
  <c r="I37" i="15"/>
  <c r="R36" i="15"/>
  <c r="O36" i="15"/>
  <c r="P36" i="15" s="1"/>
  <c r="Q36" i="15" s="1"/>
  <c r="G36" i="15" s="1"/>
  <c r="N36" i="15"/>
  <c r="M36" i="15"/>
  <c r="I36" i="15"/>
  <c r="J36" i="15" s="1"/>
  <c r="K36" i="15" s="1"/>
  <c r="L36" i="15" s="1"/>
  <c r="H36" i="15" s="1"/>
  <c r="R35" i="15"/>
  <c r="N35" i="15"/>
  <c r="O35" i="15" s="1"/>
  <c r="P35" i="15" s="1"/>
  <c r="Q35" i="15" s="1"/>
  <c r="G35" i="15" s="1"/>
  <c r="M35" i="15"/>
  <c r="I35" i="15"/>
  <c r="J35" i="15" s="1"/>
  <c r="K35" i="15" s="1"/>
  <c r="L35" i="15" s="1"/>
  <c r="H35" i="15"/>
  <c r="R34" i="15"/>
  <c r="N34" i="15"/>
  <c r="O34" i="15" s="1"/>
  <c r="P34" i="15" s="1"/>
  <c r="Q34" i="15" s="1"/>
  <c r="G34" i="15" s="1"/>
  <c r="M34" i="15"/>
  <c r="J34" i="15"/>
  <c r="K34" i="15" s="1"/>
  <c r="L34" i="15" s="1"/>
  <c r="H34" i="15" s="1"/>
  <c r="I34" i="15"/>
  <c r="R33" i="15"/>
  <c r="O33" i="15"/>
  <c r="P33" i="15" s="1"/>
  <c r="Q33" i="15" s="1"/>
  <c r="G33" i="15" s="1"/>
  <c r="N33" i="15"/>
  <c r="M33" i="15"/>
  <c r="I33" i="15"/>
  <c r="J33" i="15" s="1"/>
  <c r="K33" i="15" s="1"/>
  <c r="L33" i="15" s="1"/>
  <c r="H33" i="15" s="1"/>
  <c r="R32" i="15"/>
  <c r="N32" i="15"/>
  <c r="O32" i="15" s="1"/>
  <c r="P32" i="15" s="1"/>
  <c r="Q32" i="15" s="1"/>
  <c r="G32" i="15" s="1"/>
  <c r="M32" i="15"/>
  <c r="I32" i="15"/>
  <c r="J32" i="15" s="1"/>
  <c r="K32" i="15" s="1"/>
  <c r="L32" i="15" s="1"/>
  <c r="H32" i="15"/>
  <c r="R31" i="15"/>
  <c r="N31" i="15"/>
  <c r="O31" i="15" s="1"/>
  <c r="P31" i="15" s="1"/>
  <c r="Q31" i="15" s="1"/>
  <c r="G31" i="15" s="1"/>
  <c r="M31" i="15"/>
  <c r="J31" i="15"/>
  <c r="K31" i="15" s="1"/>
  <c r="L31" i="15" s="1"/>
  <c r="H31" i="15" s="1"/>
  <c r="I31" i="15"/>
  <c r="R30" i="15"/>
  <c r="O30" i="15"/>
  <c r="P30" i="15" s="1"/>
  <c r="Q30" i="15" s="1"/>
  <c r="G30" i="15" s="1"/>
  <c r="N30" i="15"/>
  <c r="M30" i="15"/>
  <c r="I30" i="15"/>
  <c r="J30" i="15" s="1"/>
  <c r="K30" i="15" s="1"/>
  <c r="L30" i="15" s="1"/>
  <c r="H30" i="15" s="1"/>
  <c r="R29" i="15"/>
  <c r="N29" i="15"/>
  <c r="O29" i="15" s="1"/>
  <c r="P29" i="15" s="1"/>
  <c r="Q29" i="15" s="1"/>
  <c r="G29" i="15" s="1"/>
  <c r="M29" i="15"/>
  <c r="I29" i="15"/>
  <c r="J29" i="15" s="1"/>
  <c r="K29" i="15" s="1"/>
  <c r="L29" i="15" s="1"/>
  <c r="H29" i="15"/>
  <c r="R28" i="15"/>
  <c r="N28" i="15"/>
  <c r="O28" i="15" s="1"/>
  <c r="P28" i="15" s="1"/>
  <c r="Q28" i="15" s="1"/>
  <c r="G28" i="15" s="1"/>
  <c r="M28" i="15"/>
  <c r="J28" i="15"/>
  <c r="K28" i="15" s="1"/>
  <c r="L28" i="15" s="1"/>
  <c r="H28" i="15" s="1"/>
  <c r="I28" i="15"/>
  <c r="R27" i="15"/>
  <c r="O27" i="15"/>
  <c r="P27" i="15" s="1"/>
  <c r="Q27" i="15" s="1"/>
  <c r="G27" i="15" s="1"/>
  <c r="N27" i="15"/>
  <c r="M27" i="15"/>
  <c r="I27" i="15"/>
  <c r="J27" i="15" s="1"/>
  <c r="K27" i="15" s="1"/>
  <c r="L27" i="15" s="1"/>
  <c r="H27" i="15" s="1"/>
  <c r="R26" i="15"/>
  <c r="N26" i="15"/>
  <c r="O26" i="15" s="1"/>
  <c r="P26" i="15" s="1"/>
  <c r="Q26" i="15" s="1"/>
  <c r="G26" i="15" s="1"/>
  <c r="M26" i="15"/>
  <c r="I26" i="15"/>
  <c r="J26" i="15" s="1"/>
  <c r="K26" i="15" s="1"/>
  <c r="L26" i="15" s="1"/>
  <c r="H26" i="15"/>
  <c r="R25" i="15"/>
  <c r="N25" i="15"/>
  <c r="O25" i="15" s="1"/>
  <c r="P25" i="15" s="1"/>
  <c r="Q25" i="15" s="1"/>
  <c r="G25" i="15" s="1"/>
  <c r="M25" i="15"/>
  <c r="J25" i="15"/>
  <c r="K25" i="15" s="1"/>
  <c r="L25" i="15" s="1"/>
  <c r="H25" i="15" s="1"/>
  <c r="I25" i="15"/>
  <c r="R24" i="15"/>
  <c r="O24" i="15"/>
  <c r="P24" i="15" s="1"/>
  <c r="Q24" i="15" s="1"/>
  <c r="G24" i="15" s="1"/>
  <c r="N24" i="15"/>
  <c r="M24" i="15"/>
  <c r="I24" i="15"/>
  <c r="J24" i="15" s="1"/>
  <c r="K24" i="15" s="1"/>
  <c r="L24" i="15" s="1"/>
  <c r="H24" i="15" s="1"/>
  <c r="R23" i="15"/>
  <c r="N23" i="15"/>
  <c r="O23" i="15" s="1"/>
  <c r="P23" i="15" s="1"/>
  <c r="Q23" i="15" s="1"/>
  <c r="G23" i="15" s="1"/>
  <c r="M23" i="15"/>
  <c r="I23" i="15"/>
  <c r="J23" i="15" s="1"/>
  <c r="K23" i="15" s="1"/>
  <c r="L23" i="15" s="1"/>
  <c r="H23" i="15"/>
  <c r="R22" i="15"/>
  <c r="N22" i="15"/>
  <c r="O22" i="15" s="1"/>
  <c r="P22" i="15" s="1"/>
  <c r="Q22" i="15" s="1"/>
  <c r="G22" i="15" s="1"/>
  <c r="M22" i="15"/>
  <c r="J22" i="15"/>
  <c r="K22" i="15" s="1"/>
  <c r="L22" i="15" s="1"/>
  <c r="H22" i="15" s="1"/>
  <c r="I22" i="15"/>
  <c r="R21" i="15"/>
  <c r="O21" i="15"/>
  <c r="P21" i="15" s="1"/>
  <c r="Q21" i="15" s="1"/>
  <c r="G21" i="15" s="1"/>
  <c r="N21" i="15"/>
  <c r="M21" i="15"/>
  <c r="I21" i="15"/>
  <c r="J21" i="15" s="1"/>
  <c r="K21" i="15" s="1"/>
  <c r="L21" i="15" s="1"/>
  <c r="H21" i="15" s="1"/>
  <c r="R20" i="15"/>
  <c r="N20" i="15"/>
  <c r="O20" i="15" s="1"/>
  <c r="P20" i="15" s="1"/>
  <c r="Q20" i="15" s="1"/>
  <c r="G20" i="15" s="1"/>
  <c r="M20" i="15"/>
  <c r="I20" i="15"/>
  <c r="J20" i="15" s="1"/>
  <c r="K20" i="15" s="1"/>
  <c r="L20" i="15" s="1"/>
  <c r="H20" i="15"/>
  <c r="R19" i="15"/>
  <c r="N19" i="15"/>
  <c r="O19" i="15" s="1"/>
  <c r="P19" i="15" s="1"/>
  <c r="Q19" i="15" s="1"/>
  <c r="G19" i="15" s="1"/>
  <c r="M19" i="15"/>
  <c r="J19" i="15"/>
  <c r="K19" i="15" s="1"/>
  <c r="L19" i="15" s="1"/>
  <c r="H19" i="15" s="1"/>
  <c r="I19" i="15"/>
  <c r="R18" i="15"/>
  <c r="O18" i="15"/>
  <c r="P18" i="15" s="1"/>
  <c r="Q18" i="15" s="1"/>
  <c r="G18" i="15" s="1"/>
  <c r="N18" i="15"/>
  <c r="M18" i="15"/>
  <c r="I18" i="15"/>
  <c r="J18" i="15" s="1"/>
  <c r="K18" i="15" s="1"/>
  <c r="L18" i="15" s="1"/>
  <c r="H18" i="15" s="1"/>
  <c r="R17" i="15"/>
  <c r="N17" i="15"/>
  <c r="O17" i="15" s="1"/>
  <c r="P17" i="15" s="1"/>
  <c r="Q17" i="15" s="1"/>
  <c r="G17" i="15" s="1"/>
  <c r="M17" i="15"/>
  <c r="I17" i="15"/>
  <c r="J17" i="15" s="1"/>
  <c r="K17" i="15" s="1"/>
  <c r="L17" i="15" s="1"/>
  <c r="H17" i="15" s="1"/>
  <c r="R16" i="15"/>
  <c r="N16" i="15"/>
  <c r="O16" i="15" s="1"/>
  <c r="P16" i="15" s="1"/>
  <c r="Q16" i="15" s="1"/>
  <c r="G16" i="15" s="1"/>
  <c r="M16" i="15"/>
  <c r="J16" i="15"/>
  <c r="K16" i="15" s="1"/>
  <c r="L16" i="15" s="1"/>
  <c r="H16" i="15" s="1"/>
  <c r="I16" i="15"/>
  <c r="R15" i="15"/>
  <c r="O15" i="15"/>
  <c r="P15" i="15" s="1"/>
  <c r="Q15" i="15" s="1"/>
  <c r="G15" i="15" s="1"/>
  <c r="N15" i="15"/>
  <c r="M15" i="15"/>
  <c r="K15" i="15"/>
  <c r="L15" i="15" s="1"/>
  <c r="H15" i="15" s="1"/>
  <c r="I15" i="15"/>
  <c r="J15" i="15" s="1"/>
  <c r="R14" i="15"/>
  <c r="N14" i="15"/>
  <c r="O14" i="15" s="1"/>
  <c r="P14" i="15" s="1"/>
  <c r="Q14" i="15" s="1"/>
  <c r="G14" i="15" s="1"/>
  <c r="M14" i="15"/>
  <c r="I14" i="15"/>
  <c r="J14" i="15" s="1"/>
  <c r="K14" i="15" s="1"/>
  <c r="L14" i="15" s="1"/>
  <c r="R13" i="15"/>
  <c r="N13" i="15"/>
  <c r="O13" i="15" s="1"/>
  <c r="P13" i="15" s="1"/>
  <c r="Q13" i="15" s="1"/>
  <c r="G13" i="15" s="1"/>
  <c r="M13" i="15"/>
  <c r="I13" i="15"/>
  <c r="J13" i="15" s="1"/>
  <c r="K13" i="15" s="1"/>
  <c r="L13" i="15" s="1"/>
  <c r="H13" i="15" s="1"/>
  <c r="R12" i="15"/>
  <c r="N12" i="15"/>
  <c r="O12" i="15" s="1"/>
  <c r="P12" i="15" s="1"/>
  <c r="Q12" i="15" s="1"/>
  <c r="M12" i="15"/>
  <c r="I12" i="15"/>
  <c r="J12" i="15" s="1"/>
  <c r="K12" i="15" s="1"/>
  <c r="L12" i="15" s="1"/>
  <c r="H12" i="15" s="1"/>
  <c r="R11" i="15"/>
  <c r="N11" i="15"/>
  <c r="O11" i="15" s="1"/>
  <c r="P11" i="15" s="1"/>
  <c r="Q11" i="15" s="1"/>
  <c r="G11" i="15" s="1"/>
  <c r="M11" i="15"/>
  <c r="I11" i="15"/>
  <c r="J11" i="15" s="1"/>
  <c r="K11" i="15" s="1"/>
  <c r="L11" i="15" s="1"/>
  <c r="H11" i="15" s="1"/>
  <c r="R10" i="15"/>
  <c r="N10" i="15"/>
  <c r="O10" i="15" s="1"/>
  <c r="P10" i="15" s="1"/>
  <c r="Q10" i="15" s="1"/>
  <c r="G10" i="15" s="1"/>
  <c r="M10" i="15"/>
  <c r="I10" i="15"/>
  <c r="J10" i="15" s="1"/>
  <c r="K10" i="15" s="1"/>
  <c r="L10" i="15" s="1"/>
  <c r="H10" i="15" s="1"/>
  <c r="R9" i="15"/>
  <c r="N9" i="15"/>
  <c r="O9" i="15" s="1"/>
  <c r="P9" i="15" s="1"/>
  <c r="Q9" i="15" s="1"/>
  <c r="G9" i="15" s="1"/>
  <c r="M9" i="15"/>
  <c r="I9" i="15"/>
  <c r="J9" i="15" s="1"/>
  <c r="K9" i="15" s="1"/>
  <c r="L9" i="15" s="1"/>
  <c r="H9" i="15" s="1"/>
  <c r="R8" i="15"/>
  <c r="N8" i="15"/>
  <c r="O8" i="15" s="1"/>
  <c r="P8" i="15" s="1"/>
  <c r="Q8" i="15" s="1"/>
  <c r="G8" i="15" s="1"/>
  <c r="M8" i="15"/>
  <c r="I8" i="15"/>
  <c r="J8" i="15" s="1"/>
  <c r="K8" i="15" s="1"/>
  <c r="L8" i="15" s="1"/>
  <c r="R7" i="15"/>
  <c r="N7" i="15"/>
  <c r="O7" i="15" s="1"/>
  <c r="P7" i="15" s="1"/>
  <c r="Q7" i="15" s="1"/>
  <c r="G7" i="15" s="1"/>
  <c r="M7" i="15"/>
  <c r="I7" i="15"/>
  <c r="J7" i="15" s="1"/>
  <c r="K7" i="15" s="1"/>
  <c r="L7" i="15" s="1"/>
  <c r="R6" i="15"/>
  <c r="N6" i="15"/>
  <c r="O6" i="15" s="1"/>
  <c r="P6" i="15" s="1"/>
  <c r="Q6" i="15" s="1"/>
  <c r="G6" i="15" s="1"/>
  <c r="M6" i="15"/>
  <c r="I6" i="15"/>
  <c r="J6" i="15" s="1"/>
  <c r="K6" i="15" s="1"/>
  <c r="L6" i="15" s="1"/>
  <c r="H6" i="15" s="1"/>
  <c r="R5" i="15"/>
  <c r="N5" i="15"/>
  <c r="O5" i="15" s="1"/>
  <c r="P5" i="15" s="1"/>
  <c r="Q5" i="15" s="1"/>
  <c r="G5" i="15" s="1"/>
  <c r="M5" i="15"/>
  <c r="I5" i="15"/>
  <c r="J5" i="15" s="1"/>
  <c r="K5" i="15" s="1"/>
  <c r="L5" i="15" s="1"/>
  <c r="R4" i="15"/>
  <c r="N4" i="15"/>
  <c r="M4" i="15"/>
  <c r="I4" i="15"/>
  <c r="J4" i="15" s="1"/>
  <c r="K4" i="15" s="1"/>
  <c r="F1" i="15"/>
  <c r="E1" i="15"/>
  <c r="D1" i="15"/>
  <c r="C1" i="15"/>
  <c r="B1" i="15"/>
  <c r="P3" i="16" l="1"/>
  <c r="G4" i="16"/>
  <c r="Q3" i="16"/>
  <c r="G3" i="16" s="1"/>
  <c r="L4" i="16"/>
  <c r="K3" i="16"/>
  <c r="G12" i="15"/>
  <c r="G1" i="15"/>
  <c r="H7" i="15"/>
  <c r="R3" i="15"/>
  <c r="H14" i="15"/>
  <c r="M3" i="15"/>
  <c r="H8" i="15"/>
  <c r="H5" i="15"/>
  <c r="K3" i="15"/>
  <c r="L4" i="15"/>
  <c r="I3" i="15"/>
  <c r="J3" i="15"/>
  <c r="O4" i="15"/>
  <c r="N3" i="15"/>
  <c r="R51" i="14"/>
  <c r="O51" i="14"/>
  <c r="P51" i="14" s="1"/>
  <c r="Q51" i="14" s="1"/>
  <c r="G51" i="14" s="1"/>
  <c r="N51" i="14"/>
  <c r="M51" i="14"/>
  <c r="I51" i="14"/>
  <c r="J51" i="14" s="1"/>
  <c r="K51" i="14" s="1"/>
  <c r="L51" i="14" s="1"/>
  <c r="R50" i="14"/>
  <c r="P50" i="14"/>
  <c r="Q50" i="14" s="1"/>
  <c r="G50" i="14" s="1"/>
  <c r="O50" i="14"/>
  <c r="N50" i="14"/>
  <c r="M50" i="14"/>
  <c r="I50" i="14"/>
  <c r="J50" i="14" s="1"/>
  <c r="K50" i="14" s="1"/>
  <c r="L50" i="14" s="1"/>
  <c r="H50" i="14" s="1"/>
  <c r="R49" i="14"/>
  <c r="P49" i="14"/>
  <c r="Q49" i="14" s="1"/>
  <c r="G49" i="14" s="1"/>
  <c r="O49" i="14"/>
  <c r="N49" i="14"/>
  <c r="M49" i="14"/>
  <c r="I49" i="14"/>
  <c r="J49" i="14" s="1"/>
  <c r="K49" i="14" s="1"/>
  <c r="L49" i="14" s="1"/>
  <c r="H49" i="14" s="1"/>
  <c r="R48" i="14"/>
  <c r="P48" i="14"/>
  <c r="Q48" i="14" s="1"/>
  <c r="O48" i="14"/>
  <c r="N48" i="14"/>
  <c r="M48" i="14"/>
  <c r="J48" i="14"/>
  <c r="K48" i="14" s="1"/>
  <c r="L48" i="14" s="1"/>
  <c r="H48" i="14" s="1"/>
  <c r="I48" i="14"/>
  <c r="R47" i="14"/>
  <c r="O47" i="14"/>
  <c r="P47" i="14" s="1"/>
  <c r="Q47" i="14" s="1"/>
  <c r="G47" i="14" s="1"/>
  <c r="N47" i="14"/>
  <c r="M47" i="14"/>
  <c r="I47" i="14"/>
  <c r="J47" i="14" s="1"/>
  <c r="K47" i="14" s="1"/>
  <c r="L47" i="14" s="1"/>
  <c r="R46" i="14"/>
  <c r="P46" i="14"/>
  <c r="Q46" i="14" s="1"/>
  <c r="G46" i="14" s="1"/>
  <c r="O46" i="14"/>
  <c r="N46" i="14"/>
  <c r="M46" i="14"/>
  <c r="I46" i="14"/>
  <c r="J46" i="14" s="1"/>
  <c r="K46" i="14" s="1"/>
  <c r="L46" i="14" s="1"/>
  <c r="H46" i="14" s="1"/>
  <c r="R45" i="14"/>
  <c r="P45" i="14"/>
  <c r="Q45" i="14" s="1"/>
  <c r="G45" i="14" s="1"/>
  <c r="O45" i="14"/>
  <c r="N45" i="14"/>
  <c r="M45" i="14"/>
  <c r="I45" i="14"/>
  <c r="J45" i="14" s="1"/>
  <c r="K45" i="14" s="1"/>
  <c r="L45" i="14" s="1"/>
  <c r="H45" i="14" s="1"/>
  <c r="R44" i="14"/>
  <c r="P44" i="14"/>
  <c r="Q44" i="14" s="1"/>
  <c r="O44" i="14"/>
  <c r="N44" i="14"/>
  <c r="M44" i="14"/>
  <c r="J44" i="14"/>
  <c r="K44" i="14" s="1"/>
  <c r="L44" i="14" s="1"/>
  <c r="H44" i="14" s="1"/>
  <c r="I44" i="14"/>
  <c r="R43" i="14"/>
  <c r="O43" i="14"/>
  <c r="P43" i="14" s="1"/>
  <c r="Q43" i="14" s="1"/>
  <c r="G43" i="14" s="1"/>
  <c r="N43" i="14"/>
  <c r="M43" i="14"/>
  <c r="I43" i="14"/>
  <c r="J43" i="14" s="1"/>
  <c r="K43" i="14" s="1"/>
  <c r="L43" i="14" s="1"/>
  <c r="R42" i="14"/>
  <c r="P42" i="14"/>
  <c r="Q42" i="14" s="1"/>
  <c r="G42" i="14" s="1"/>
  <c r="O42" i="14"/>
  <c r="N42" i="14"/>
  <c r="M42" i="14"/>
  <c r="I42" i="14"/>
  <c r="J42" i="14" s="1"/>
  <c r="K42" i="14" s="1"/>
  <c r="L42" i="14" s="1"/>
  <c r="H42" i="14" s="1"/>
  <c r="R41" i="14"/>
  <c r="P41" i="14"/>
  <c r="Q41" i="14" s="1"/>
  <c r="G41" i="14" s="1"/>
  <c r="O41" i="14"/>
  <c r="N41" i="14"/>
  <c r="M41" i="14"/>
  <c r="I41" i="14"/>
  <c r="J41" i="14" s="1"/>
  <c r="K41" i="14" s="1"/>
  <c r="L41" i="14" s="1"/>
  <c r="H41" i="14" s="1"/>
  <c r="R40" i="14"/>
  <c r="P40" i="14"/>
  <c r="Q40" i="14" s="1"/>
  <c r="O40" i="14"/>
  <c r="N40" i="14"/>
  <c r="M40" i="14"/>
  <c r="J40" i="14"/>
  <c r="K40" i="14" s="1"/>
  <c r="L40" i="14" s="1"/>
  <c r="H40" i="14" s="1"/>
  <c r="I40" i="14"/>
  <c r="R39" i="14"/>
  <c r="O39" i="14"/>
  <c r="P39" i="14" s="1"/>
  <c r="Q39" i="14" s="1"/>
  <c r="G39" i="14" s="1"/>
  <c r="N39" i="14"/>
  <c r="M39" i="14"/>
  <c r="I39" i="14"/>
  <c r="J39" i="14" s="1"/>
  <c r="K39" i="14" s="1"/>
  <c r="L39" i="14" s="1"/>
  <c r="R38" i="14"/>
  <c r="P38" i="14"/>
  <c r="Q38" i="14" s="1"/>
  <c r="G38" i="14" s="1"/>
  <c r="O38" i="14"/>
  <c r="N38" i="14"/>
  <c r="M38" i="14"/>
  <c r="I38" i="14"/>
  <c r="J38" i="14" s="1"/>
  <c r="K38" i="14" s="1"/>
  <c r="L38" i="14" s="1"/>
  <c r="H38" i="14" s="1"/>
  <c r="R37" i="14"/>
  <c r="P37" i="14"/>
  <c r="Q37" i="14" s="1"/>
  <c r="G37" i="14" s="1"/>
  <c r="O37" i="14"/>
  <c r="N37" i="14"/>
  <c r="M37" i="14"/>
  <c r="I37" i="14"/>
  <c r="J37" i="14" s="1"/>
  <c r="K37" i="14" s="1"/>
  <c r="L37" i="14" s="1"/>
  <c r="H37" i="14" s="1"/>
  <c r="R36" i="14"/>
  <c r="P36" i="14"/>
  <c r="Q36" i="14" s="1"/>
  <c r="O36" i="14"/>
  <c r="N36" i="14"/>
  <c r="M36" i="14"/>
  <c r="J36" i="14"/>
  <c r="K36" i="14" s="1"/>
  <c r="L36" i="14" s="1"/>
  <c r="H36" i="14" s="1"/>
  <c r="I36" i="14"/>
  <c r="R35" i="14"/>
  <c r="O35" i="14"/>
  <c r="P35" i="14" s="1"/>
  <c r="Q35" i="14" s="1"/>
  <c r="G35" i="14" s="1"/>
  <c r="N35" i="14"/>
  <c r="M35" i="14"/>
  <c r="I35" i="14"/>
  <c r="J35" i="14" s="1"/>
  <c r="K35" i="14" s="1"/>
  <c r="L35" i="14" s="1"/>
  <c r="R34" i="14"/>
  <c r="P34" i="14"/>
  <c r="Q34" i="14" s="1"/>
  <c r="G34" i="14" s="1"/>
  <c r="O34" i="14"/>
  <c r="N34" i="14"/>
  <c r="M34" i="14"/>
  <c r="I34" i="14"/>
  <c r="J34" i="14" s="1"/>
  <c r="K34" i="14" s="1"/>
  <c r="L34" i="14" s="1"/>
  <c r="H34" i="14" s="1"/>
  <c r="R33" i="14"/>
  <c r="N33" i="14"/>
  <c r="O33" i="14" s="1"/>
  <c r="P33" i="14" s="1"/>
  <c r="Q33" i="14" s="1"/>
  <c r="G33" i="14" s="1"/>
  <c r="M33" i="14"/>
  <c r="I33" i="14"/>
  <c r="J33" i="14" s="1"/>
  <c r="K33" i="14" s="1"/>
  <c r="L33" i="14" s="1"/>
  <c r="H33" i="14" s="1"/>
  <c r="R32" i="14"/>
  <c r="N32" i="14"/>
  <c r="O32" i="14" s="1"/>
  <c r="P32" i="14" s="1"/>
  <c r="Q32" i="14" s="1"/>
  <c r="G32" i="14" s="1"/>
  <c r="M32" i="14"/>
  <c r="L32" i="14"/>
  <c r="H32" i="14" s="1"/>
  <c r="I32" i="14"/>
  <c r="J32" i="14" s="1"/>
  <c r="K32" i="14" s="1"/>
  <c r="R31" i="14"/>
  <c r="N31" i="14"/>
  <c r="O31" i="14" s="1"/>
  <c r="P31" i="14" s="1"/>
  <c r="Q31" i="14" s="1"/>
  <c r="G31" i="14" s="1"/>
  <c r="M31" i="14"/>
  <c r="I31" i="14"/>
  <c r="J31" i="14" s="1"/>
  <c r="K31" i="14" s="1"/>
  <c r="L31" i="14" s="1"/>
  <c r="H31" i="14" s="1"/>
  <c r="R30" i="14"/>
  <c r="N30" i="14"/>
  <c r="O30" i="14" s="1"/>
  <c r="P30" i="14" s="1"/>
  <c r="Q30" i="14" s="1"/>
  <c r="G30" i="14" s="1"/>
  <c r="M30" i="14"/>
  <c r="I30" i="14"/>
  <c r="J30" i="14" s="1"/>
  <c r="K30" i="14" s="1"/>
  <c r="L30" i="14" s="1"/>
  <c r="H30" i="14" s="1"/>
  <c r="R29" i="14"/>
  <c r="N29" i="14"/>
  <c r="O29" i="14" s="1"/>
  <c r="P29" i="14" s="1"/>
  <c r="Q29" i="14" s="1"/>
  <c r="G29" i="14" s="1"/>
  <c r="M29" i="14"/>
  <c r="L29" i="14"/>
  <c r="H29" i="14" s="1"/>
  <c r="I29" i="14"/>
  <c r="J29" i="14" s="1"/>
  <c r="K29" i="14" s="1"/>
  <c r="R28" i="14"/>
  <c r="N28" i="14"/>
  <c r="O28" i="14" s="1"/>
  <c r="P28" i="14" s="1"/>
  <c r="Q28" i="14" s="1"/>
  <c r="G28" i="14" s="1"/>
  <c r="M28" i="14"/>
  <c r="I28" i="14"/>
  <c r="J28" i="14" s="1"/>
  <c r="K28" i="14" s="1"/>
  <c r="L28" i="14" s="1"/>
  <c r="H28" i="14" s="1"/>
  <c r="R27" i="14"/>
  <c r="N27" i="14"/>
  <c r="O27" i="14" s="1"/>
  <c r="P27" i="14" s="1"/>
  <c r="Q27" i="14" s="1"/>
  <c r="G27" i="14" s="1"/>
  <c r="M27" i="14"/>
  <c r="I27" i="14"/>
  <c r="J27" i="14" s="1"/>
  <c r="K27" i="14" s="1"/>
  <c r="L27" i="14" s="1"/>
  <c r="H27" i="14" s="1"/>
  <c r="R26" i="14"/>
  <c r="N26" i="14"/>
  <c r="O26" i="14" s="1"/>
  <c r="P26" i="14" s="1"/>
  <c r="Q26" i="14" s="1"/>
  <c r="G26" i="14" s="1"/>
  <c r="M26" i="14"/>
  <c r="L26" i="14"/>
  <c r="H26" i="14" s="1"/>
  <c r="I26" i="14"/>
  <c r="J26" i="14" s="1"/>
  <c r="K26" i="14" s="1"/>
  <c r="R25" i="14"/>
  <c r="N25" i="14"/>
  <c r="O25" i="14" s="1"/>
  <c r="P25" i="14" s="1"/>
  <c r="Q25" i="14" s="1"/>
  <c r="G25" i="14" s="1"/>
  <c r="M25" i="14"/>
  <c r="I25" i="14"/>
  <c r="J25" i="14" s="1"/>
  <c r="K25" i="14" s="1"/>
  <c r="L25" i="14" s="1"/>
  <c r="H25" i="14" s="1"/>
  <c r="R24" i="14"/>
  <c r="N24" i="14"/>
  <c r="O24" i="14" s="1"/>
  <c r="P24" i="14" s="1"/>
  <c r="Q24" i="14" s="1"/>
  <c r="G24" i="14" s="1"/>
  <c r="M24" i="14"/>
  <c r="I24" i="14"/>
  <c r="J24" i="14" s="1"/>
  <c r="K24" i="14" s="1"/>
  <c r="L24" i="14" s="1"/>
  <c r="H24" i="14" s="1"/>
  <c r="R23" i="14"/>
  <c r="N23" i="14"/>
  <c r="O23" i="14" s="1"/>
  <c r="P23" i="14" s="1"/>
  <c r="Q23" i="14" s="1"/>
  <c r="G23" i="14" s="1"/>
  <c r="M23" i="14"/>
  <c r="L23" i="14"/>
  <c r="H23" i="14" s="1"/>
  <c r="I23" i="14"/>
  <c r="J23" i="14" s="1"/>
  <c r="K23" i="14" s="1"/>
  <c r="R22" i="14"/>
  <c r="N22" i="14"/>
  <c r="O22" i="14" s="1"/>
  <c r="P22" i="14" s="1"/>
  <c r="Q22" i="14" s="1"/>
  <c r="G22" i="14" s="1"/>
  <c r="M22" i="14"/>
  <c r="I22" i="14"/>
  <c r="J22" i="14" s="1"/>
  <c r="K22" i="14" s="1"/>
  <c r="L22" i="14" s="1"/>
  <c r="H22" i="14" s="1"/>
  <c r="R21" i="14"/>
  <c r="N21" i="14"/>
  <c r="O21" i="14" s="1"/>
  <c r="P21" i="14" s="1"/>
  <c r="Q21" i="14" s="1"/>
  <c r="G21" i="14" s="1"/>
  <c r="M21" i="14"/>
  <c r="I21" i="14"/>
  <c r="J21" i="14" s="1"/>
  <c r="K21" i="14" s="1"/>
  <c r="L21" i="14" s="1"/>
  <c r="H21" i="14" s="1"/>
  <c r="R20" i="14"/>
  <c r="N20" i="14"/>
  <c r="O20" i="14" s="1"/>
  <c r="P20" i="14" s="1"/>
  <c r="Q20" i="14" s="1"/>
  <c r="G20" i="14" s="1"/>
  <c r="M20" i="14"/>
  <c r="L20" i="14"/>
  <c r="H20" i="14" s="1"/>
  <c r="I20" i="14"/>
  <c r="J20" i="14" s="1"/>
  <c r="K20" i="14" s="1"/>
  <c r="R19" i="14"/>
  <c r="N19" i="14"/>
  <c r="O19" i="14" s="1"/>
  <c r="P19" i="14" s="1"/>
  <c r="Q19" i="14" s="1"/>
  <c r="G19" i="14" s="1"/>
  <c r="M19" i="14"/>
  <c r="I19" i="14"/>
  <c r="J19" i="14" s="1"/>
  <c r="K19" i="14" s="1"/>
  <c r="L19" i="14" s="1"/>
  <c r="H19" i="14" s="1"/>
  <c r="R18" i="14"/>
  <c r="N18" i="14"/>
  <c r="O18" i="14" s="1"/>
  <c r="P18" i="14" s="1"/>
  <c r="Q18" i="14" s="1"/>
  <c r="G18" i="14" s="1"/>
  <c r="M18" i="14"/>
  <c r="I18" i="14"/>
  <c r="J18" i="14" s="1"/>
  <c r="K18" i="14" s="1"/>
  <c r="L18" i="14" s="1"/>
  <c r="H18" i="14" s="1"/>
  <c r="R17" i="14"/>
  <c r="N17" i="14"/>
  <c r="O17" i="14" s="1"/>
  <c r="P17" i="14" s="1"/>
  <c r="Q17" i="14" s="1"/>
  <c r="G17" i="14" s="1"/>
  <c r="M17" i="14"/>
  <c r="L17" i="14"/>
  <c r="H17" i="14" s="1"/>
  <c r="I17" i="14"/>
  <c r="J17" i="14" s="1"/>
  <c r="K17" i="14" s="1"/>
  <c r="R16" i="14"/>
  <c r="N16" i="14"/>
  <c r="O16" i="14" s="1"/>
  <c r="P16" i="14" s="1"/>
  <c r="Q16" i="14" s="1"/>
  <c r="G16" i="14" s="1"/>
  <c r="M16" i="14"/>
  <c r="I16" i="14"/>
  <c r="J16" i="14" s="1"/>
  <c r="K16" i="14" s="1"/>
  <c r="L16" i="14" s="1"/>
  <c r="H16" i="14" s="1"/>
  <c r="R15" i="14"/>
  <c r="N15" i="14"/>
  <c r="O15" i="14" s="1"/>
  <c r="P15" i="14" s="1"/>
  <c r="Q15" i="14" s="1"/>
  <c r="G15" i="14" s="1"/>
  <c r="M15" i="14"/>
  <c r="I15" i="14"/>
  <c r="J15" i="14" s="1"/>
  <c r="K15" i="14" s="1"/>
  <c r="L15" i="14" s="1"/>
  <c r="R14" i="14"/>
  <c r="N14" i="14"/>
  <c r="O14" i="14" s="1"/>
  <c r="P14" i="14" s="1"/>
  <c r="Q14" i="14" s="1"/>
  <c r="G14" i="14" s="1"/>
  <c r="M14" i="14"/>
  <c r="I14" i="14"/>
  <c r="J14" i="14" s="1"/>
  <c r="K14" i="14" s="1"/>
  <c r="L14" i="14" s="1"/>
  <c r="H14" i="14" s="1"/>
  <c r="R13" i="14"/>
  <c r="N13" i="14"/>
  <c r="O13" i="14" s="1"/>
  <c r="P13" i="14" s="1"/>
  <c r="Q13" i="14" s="1"/>
  <c r="G13" i="14" s="1"/>
  <c r="M13" i="14"/>
  <c r="I13" i="14"/>
  <c r="J13" i="14" s="1"/>
  <c r="K13" i="14" s="1"/>
  <c r="L13" i="14" s="1"/>
  <c r="R12" i="14"/>
  <c r="N12" i="14"/>
  <c r="O12" i="14" s="1"/>
  <c r="P12" i="14" s="1"/>
  <c r="Q12" i="14" s="1"/>
  <c r="G12" i="14" s="1"/>
  <c r="M12" i="14"/>
  <c r="I12" i="14"/>
  <c r="J12" i="14" s="1"/>
  <c r="K12" i="14" s="1"/>
  <c r="L12" i="14" s="1"/>
  <c r="H12" i="14" s="1"/>
  <c r="R11" i="14"/>
  <c r="N11" i="14"/>
  <c r="O11" i="14" s="1"/>
  <c r="P11" i="14" s="1"/>
  <c r="Q11" i="14" s="1"/>
  <c r="G11" i="14" s="1"/>
  <c r="M11" i="14"/>
  <c r="I11" i="14"/>
  <c r="J11" i="14" s="1"/>
  <c r="K11" i="14" s="1"/>
  <c r="L11" i="14" s="1"/>
  <c r="H11" i="14" s="1"/>
  <c r="R10" i="14"/>
  <c r="N10" i="14"/>
  <c r="O10" i="14" s="1"/>
  <c r="P10" i="14" s="1"/>
  <c r="Q10" i="14" s="1"/>
  <c r="G10" i="14" s="1"/>
  <c r="M10" i="14"/>
  <c r="I10" i="14"/>
  <c r="J10" i="14" s="1"/>
  <c r="K10" i="14" s="1"/>
  <c r="L10" i="14" s="1"/>
  <c r="H10" i="14" s="1"/>
  <c r="R9" i="14"/>
  <c r="N9" i="14"/>
  <c r="O9" i="14" s="1"/>
  <c r="P9" i="14" s="1"/>
  <c r="Q9" i="14" s="1"/>
  <c r="M9" i="14"/>
  <c r="I9" i="14"/>
  <c r="J9" i="14" s="1"/>
  <c r="K9" i="14" s="1"/>
  <c r="L9" i="14" s="1"/>
  <c r="R8" i="14"/>
  <c r="N8" i="14"/>
  <c r="O8" i="14" s="1"/>
  <c r="P8" i="14" s="1"/>
  <c r="Q8" i="14" s="1"/>
  <c r="G8" i="14" s="1"/>
  <c r="M8" i="14"/>
  <c r="I8" i="14"/>
  <c r="J8" i="14" s="1"/>
  <c r="K8" i="14" s="1"/>
  <c r="L8" i="14" s="1"/>
  <c r="H8" i="14" s="1"/>
  <c r="R7" i="14"/>
  <c r="N7" i="14"/>
  <c r="O7" i="14" s="1"/>
  <c r="P7" i="14" s="1"/>
  <c r="Q7" i="14" s="1"/>
  <c r="M7" i="14"/>
  <c r="I7" i="14"/>
  <c r="J7" i="14" s="1"/>
  <c r="K7" i="14" s="1"/>
  <c r="L7" i="14" s="1"/>
  <c r="H7" i="14" s="1"/>
  <c r="R6" i="14"/>
  <c r="N6" i="14"/>
  <c r="O6" i="14" s="1"/>
  <c r="P6" i="14" s="1"/>
  <c r="Q6" i="14" s="1"/>
  <c r="M6" i="14"/>
  <c r="I6" i="14"/>
  <c r="J6" i="14" s="1"/>
  <c r="K6" i="14" s="1"/>
  <c r="L6" i="14" s="1"/>
  <c r="R5" i="14"/>
  <c r="N5" i="14"/>
  <c r="O5" i="14" s="1"/>
  <c r="P5" i="14" s="1"/>
  <c r="Q5" i="14" s="1"/>
  <c r="M5" i="14"/>
  <c r="I5" i="14"/>
  <c r="J5" i="14" s="1"/>
  <c r="K5" i="14" s="1"/>
  <c r="L5" i="14" s="1"/>
  <c r="R4" i="14"/>
  <c r="N4" i="14"/>
  <c r="O4" i="14" s="1"/>
  <c r="M4" i="14"/>
  <c r="I4" i="14"/>
  <c r="J4" i="14" s="1"/>
  <c r="F1" i="14"/>
  <c r="E1" i="14"/>
  <c r="D1" i="14"/>
  <c r="C1" i="14"/>
  <c r="B1" i="14"/>
  <c r="H4" i="16" l="1"/>
  <c r="L3" i="16"/>
  <c r="H3" i="16" s="1"/>
  <c r="P4" i="15"/>
  <c r="O3" i="15"/>
  <c r="H4" i="15"/>
  <c r="L3" i="15"/>
  <c r="H3" i="15" s="1"/>
  <c r="G7" i="14"/>
  <c r="G9" i="14"/>
  <c r="G5" i="14"/>
  <c r="G1" i="14"/>
  <c r="H15" i="14"/>
  <c r="H9" i="14"/>
  <c r="H6" i="14"/>
  <c r="R3" i="14"/>
  <c r="G6" i="14"/>
  <c r="H13" i="14"/>
  <c r="H5" i="14"/>
  <c r="P4" i="14"/>
  <c r="O3" i="14"/>
  <c r="J3" i="14"/>
  <c r="K4" i="14"/>
  <c r="I3" i="14"/>
  <c r="M3" i="14"/>
  <c r="H35" i="14"/>
  <c r="G36" i="14"/>
  <c r="H39" i="14"/>
  <c r="G40" i="14"/>
  <c r="H43" i="14"/>
  <c r="G44" i="14"/>
  <c r="H47" i="14"/>
  <c r="G48" i="14"/>
  <c r="H51" i="14"/>
  <c r="N3" i="14"/>
  <c r="R51" i="13"/>
  <c r="N51" i="13"/>
  <c r="O51" i="13" s="1"/>
  <c r="P51" i="13" s="1"/>
  <c r="Q51" i="13" s="1"/>
  <c r="G51" i="13" s="1"/>
  <c r="M51" i="13"/>
  <c r="I51" i="13"/>
  <c r="J51" i="13" s="1"/>
  <c r="K51" i="13" s="1"/>
  <c r="L51" i="13" s="1"/>
  <c r="H51" i="13" s="1"/>
  <c r="R50" i="13"/>
  <c r="N50" i="13"/>
  <c r="O50" i="13" s="1"/>
  <c r="P50" i="13" s="1"/>
  <c r="Q50" i="13" s="1"/>
  <c r="G50" i="13" s="1"/>
  <c r="M50" i="13"/>
  <c r="I50" i="13"/>
  <c r="J50" i="13" s="1"/>
  <c r="K50" i="13" s="1"/>
  <c r="L50" i="13" s="1"/>
  <c r="H50" i="13" s="1"/>
  <c r="R49" i="13"/>
  <c r="N49" i="13"/>
  <c r="O49" i="13" s="1"/>
  <c r="P49" i="13" s="1"/>
  <c r="Q49" i="13" s="1"/>
  <c r="G49" i="13" s="1"/>
  <c r="M49" i="13"/>
  <c r="J49" i="13"/>
  <c r="K49" i="13" s="1"/>
  <c r="L49" i="13" s="1"/>
  <c r="H49" i="13" s="1"/>
  <c r="I49" i="13"/>
  <c r="R48" i="13"/>
  <c r="O48" i="13"/>
  <c r="P48" i="13" s="1"/>
  <c r="Q48" i="13" s="1"/>
  <c r="G48" i="13" s="1"/>
  <c r="N48" i="13"/>
  <c r="M48" i="13"/>
  <c r="I48" i="13"/>
  <c r="J48" i="13" s="1"/>
  <c r="K48" i="13" s="1"/>
  <c r="L48" i="13" s="1"/>
  <c r="H48" i="13" s="1"/>
  <c r="R47" i="13"/>
  <c r="N47" i="13"/>
  <c r="O47" i="13" s="1"/>
  <c r="P47" i="13" s="1"/>
  <c r="Q47" i="13" s="1"/>
  <c r="G47" i="13" s="1"/>
  <c r="M47" i="13"/>
  <c r="I47" i="13"/>
  <c r="J47" i="13" s="1"/>
  <c r="K47" i="13" s="1"/>
  <c r="L47" i="13" s="1"/>
  <c r="H47" i="13" s="1"/>
  <c r="R46" i="13"/>
  <c r="N46" i="13"/>
  <c r="O46" i="13" s="1"/>
  <c r="P46" i="13" s="1"/>
  <c r="Q46" i="13" s="1"/>
  <c r="G46" i="13" s="1"/>
  <c r="M46" i="13"/>
  <c r="J46" i="13"/>
  <c r="K46" i="13" s="1"/>
  <c r="L46" i="13" s="1"/>
  <c r="H46" i="13" s="1"/>
  <c r="I46" i="13"/>
  <c r="R45" i="13"/>
  <c r="O45" i="13"/>
  <c r="P45" i="13" s="1"/>
  <c r="Q45" i="13" s="1"/>
  <c r="G45" i="13" s="1"/>
  <c r="N45" i="13"/>
  <c r="M45" i="13"/>
  <c r="I45" i="13"/>
  <c r="J45" i="13" s="1"/>
  <c r="K45" i="13" s="1"/>
  <c r="L45" i="13" s="1"/>
  <c r="H45" i="13" s="1"/>
  <c r="R44" i="13"/>
  <c r="N44" i="13"/>
  <c r="O44" i="13" s="1"/>
  <c r="P44" i="13" s="1"/>
  <c r="Q44" i="13" s="1"/>
  <c r="G44" i="13" s="1"/>
  <c r="M44" i="13"/>
  <c r="I44" i="13"/>
  <c r="J44" i="13" s="1"/>
  <c r="K44" i="13" s="1"/>
  <c r="L44" i="13" s="1"/>
  <c r="H44" i="13" s="1"/>
  <c r="R43" i="13"/>
  <c r="N43" i="13"/>
  <c r="O43" i="13" s="1"/>
  <c r="P43" i="13" s="1"/>
  <c r="Q43" i="13" s="1"/>
  <c r="G43" i="13" s="1"/>
  <c r="M43" i="13"/>
  <c r="J43" i="13"/>
  <c r="K43" i="13" s="1"/>
  <c r="L43" i="13" s="1"/>
  <c r="H43" i="13" s="1"/>
  <c r="I43" i="13"/>
  <c r="R42" i="13"/>
  <c r="O42" i="13"/>
  <c r="P42" i="13" s="1"/>
  <c r="Q42" i="13" s="1"/>
  <c r="G42" i="13" s="1"/>
  <c r="N42" i="13"/>
  <c r="M42" i="13"/>
  <c r="I42" i="13"/>
  <c r="J42" i="13" s="1"/>
  <c r="K42" i="13" s="1"/>
  <c r="L42" i="13" s="1"/>
  <c r="H42" i="13" s="1"/>
  <c r="R41" i="13"/>
  <c r="N41" i="13"/>
  <c r="O41" i="13" s="1"/>
  <c r="P41" i="13" s="1"/>
  <c r="Q41" i="13" s="1"/>
  <c r="G41" i="13" s="1"/>
  <c r="M41" i="13"/>
  <c r="I41" i="13"/>
  <c r="J41" i="13" s="1"/>
  <c r="K41" i="13" s="1"/>
  <c r="L41" i="13" s="1"/>
  <c r="H41" i="13" s="1"/>
  <c r="R40" i="13"/>
  <c r="N40" i="13"/>
  <c r="O40" i="13" s="1"/>
  <c r="P40" i="13" s="1"/>
  <c r="Q40" i="13" s="1"/>
  <c r="G40" i="13" s="1"/>
  <c r="M40" i="13"/>
  <c r="J40" i="13"/>
  <c r="K40" i="13" s="1"/>
  <c r="L40" i="13" s="1"/>
  <c r="H40" i="13" s="1"/>
  <c r="I40" i="13"/>
  <c r="R39" i="13"/>
  <c r="O39" i="13"/>
  <c r="P39" i="13" s="1"/>
  <c r="Q39" i="13" s="1"/>
  <c r="G39" i="13" s="1"/>
  <c r="N39" i="13"/>
  <c r="M39" i="13"/>
  <c r="I39" i="13"/>
  <c r="J39" i="13" s="1"/>
  <c r="K39" i="13" s="1"/>
  <c r="L39" i="13" s="1"/>
  <c r="H39" i="13" s="1"/>
  <c r="R38" i="13"/>
  <c r="N38" i="13"/>
  <c r="O38" i="13" s="1"/>
  <c r="P38" i="13" s="1"/>
  <c r="Q38" i="13" s="1"/>
  <c r="G38" i="13" s="1"/>
  <c r="M38" i="13"/>
  <c r="I38" i="13"/>
  <c r="J38" i="13" s="1"/>
  <c r="K38" i="13" s="1"/>
  <c r="L38" i="13" s="1"/>
  <c r="H38" i="13" s="1"/>
  <c r="R37" i="13"/>
  <c r="N37" i="13"/>
  <c r="O37" i="13" s="1"/>
  <c r="P37" i="13" s="1"/>
  <c r="Q37" i="13" s="1"/>
  <c r="G37" i="13" s="1"/>
  <c r="M37" i="13"/>
  <c r="J37" i="13"/>
  <c r="K37" i="13" s="1"/>
  <c r="L37" i="13" s="1"/>
  <c r="H37" i="13" s="1"/>
  <c r="I37" i="13"/>
  <c r="R36" i="13"/>
  <c r="O36" i="13"/>
  <c r="P36" i="13" s="1"/>
  <c r="Q36" i="13" s="1"/>
  <c r="G36" i="13" s="1"/>
  <c r="N36" i="13"/>
  <c r="M36" i="13"/>
  <c r="I36" i="13"/>
  <c r="J36" i="13" s="1"/>
  <c r="K36" i="13" s="1"/>
  <c r="L36" i="13" s="1"/>
  <c r="H36" i="13" s="1"/>
  <c r="R35" i="13"/>
  <c r="N35" i="13"/>
  <c r="O35" i="13" s="1"/>
  <c r="P35" i="13" s="1"/>
  <c r="Q35" i="13" s="1"/>
  <c r="G35" i="13" s="1"/>
  <c r="M35" i="13"/>
  <c r="I35" i="13"/>
  <c r="J35" i="13" s="1"/>
  <c r="K35" i="13" s="1"/>
  <c r="L35" i="13" s="1"/>
  <c r="H35" i="13" s="1"/>
  <c r="R34" i="13"/>
  <c r="N34" i="13"/>
  <c r="O34" i="13" s="1"/>
  <c r="P34" i="13" s="1"/>
  <c r="Q34" i="13" s="1"/>
  <c r="G34" i="13" s="1"/>
  <c r="M34" i="13"/>
  <c r="J34" i="13"/>
  <c r="K34" i="13" s="1"/>
  <c r="L34" i="13" s="1"/>
  <c r="H34" i="13" s="1"/>
  <c r="I34" i="13"/>
  <c r="R33" i="13"/>
  <c r="O33" i="13"/>
  <c r="P33" i="13" s="1"/>
  <c r="Q33" i="13" s="1"/>
  <c r="G33" i="13" s="1"/>
  <c r="N33" i="13"/>
  <c r="M33" i="13"/>
  <c r="I33" i="13"/>
  <c r="J33" i="13" s="1"/>
  <c r="K33" i="13" s="1"/>
  <c r="L33" i="13" s="1"/>
  <c r="H33" i="13" s="1"/>
  <c r="R32" i="13"/>
  <c r="N32" i="13"/>
  <c r="O32" i="13" s="1"/>
  <c r="P32" i="13" s="1"/>
  <c r="Q32" i="13" s="1"/>
  <c r="G32" i="13" s="1"/>
  <c r="M32" i="13"/>
  <c r="I32" i="13"/>
  <c r="J32" i="13" s="1"/>
  <c r="K32" i="13" s="1"/>
  <c r="L32" i="13" s="1"/>
  <c r="H32" i="13" s="1"/>
  <c r="R31" i="13"/>
  <c r="N31" i="13"/>
  <c r="O31" i="13" s="1"/>
  <c r="P31" i="13" s="1"/>
  <c r="Q31" i="13" s="1"/>
  <c r="G31" i="13" s="1"/>
  <c r="M31" i="13"/>
  <c r="J31" i="13"/>
  <c r="K31" i="13" s="1"/>
  <c r="L31" i="13" s="1"/>
  <c r="H31" i="13" s="1"/>
  <c r="I31" i="13"/>
  <c r="R30" i="13"/>
  <c r="O30" i="13"/>
  <c r="P30" i="13" s="1"/>
  <c r="Q30" i="13" s="1"/>
  <c r="G30" i="13" s="1"/>
  <c r="N30" i="13"/>
  <c r="M30" i="13"/>
  <c r="I30" i="13"/>
  <c r="J30" i="13" s="1"/>
  <c r="K30" i="13" s="1"/>
  <c r="L30" i="13" s="1"/>
  <c r="H30" i="13" s="1"/>
  <c r="R29" i="13"/>
  <c r="N29" i="13"/>
  <c r="O29" i="13" s="1"/>
  <c r="P29" i="13" s="1"/>
  <c r="Q29" i="13" s="1"/>
  <c r="G29" i="13" s="1"/>
  <c r="M29" i="13"/>
  <c r="I29" i="13"/>
  <c r="J29" i="13" s="1"/>
  <c r="K29" i="13" s="1"/>
  <c r="L29" i="13" s="1"/>
  <c r="H29" i="13" s="1"/>
  <c r="R28" i="13"/>
  <c r="N28" i="13"/>
  <c r="O28" i="13" s="1"/>
  <c r="P28" i="13" s="1"/>
  <c r="Q28" i="13" s="1"/>
  <c r="G28" i="13" s="1"/>
  <c r="M28" i="13"/>
  <c r="J28" i="13"/>
  <c r="K28" i="13" s="1"/>
  <c r="L28" i="13" s="1"/>
  <c r="H28" i="13" s="1"/>
  <c r="I28" i="13"/>
  <c r="R27" i="13"/>
  <c r="O27" i="13"/>
  <c r="P27" i="13" s="1"/>
  <c r="Q27" i="13" s="1"/>
  <c r="G27" i="13" s="1"/>
  <c r="N27" i="13"/>
  <c r="M27" i="13"/>
  <c r="I27" i="13"/>
  <c r="J27" i="13" s="1"/>
  <c r="K27" i="13" s="1"/>
  <c r="L27" i="13" s="1"/>
  <c r="H27" i="13" s="1"/>
  <c r="R26" i="13"/>
  <c r="N26" i="13"/>
  <c r="O26" i="13" s="1"/>
  <c r="P26" i="13" s="1"/>
  <c r="Q26" i="13" s="1"/>
  <c r="G26" i="13" s="1"/>
  <c r="M26" i="13"/>
  <c r="I26" i="13"/>
  <c r="J26" i="13" s="1"/>
  <c r="K26" i="13" s="1"/>
  <c r="L26" i="13" s="1"/>
  <c r="H26" i="13" s="1"/>
  <c r="R25" i="13"/>
  <c r="N25" i="13"/>
  <c r="O25" i="13" s="1"/>
  <c r="P25" i="13" s="1"/>
  <c r="Q25" i="13" s="1"/>
  <c r="G25" i="13" s="1"/>
  <c r="M25" i="13"/>
  <c r="J25" i="13"/>
  <c r="K25" i="13" s="1"/>
  <c r="L25" i="13" s="1"/>
  <c r="H25" i="13" s="1"/>
  <c r="I25" i="13"/>
  <c r="R24" i="13"/>
  <c r="O24" i="13"/>
  <c r="P24" i="13" s="1"/>
  <c r="Q24" i="13" s="1"/>
  <c r="G24" i="13" s="1"/>
  <c r="N24" i="13"/>
  <c r="M24" i="13"/>
  <c r="I24" i="13"/>
  <c r="J24" i="13" s="1"/>
  <c r="K24" i="13" s="1"/>
  <c r="L24" i="13" s="1"/>
  <c r="H24" i="13" s="1"/>
  <c r="R23" i="13"/>
  <c r="N23" i="13"/>
  <c r="O23" i="13" s="1"/>
  <c r="P23" i="13" s="1"/>
  <c r="Q23" i="13" s="1"/>
  <c r="G23" i="13" s="1"/>
  <c r="M23" i="13"/>
  <c r="I23" i="13"/>
  <c r="J23" i="13" s="1"/>
  <c r="K23" i="13" s="1"/>
  <c r="L23" i="13" s="1"/>
  <c r="H23" i="13" s="1"/>
  <c r="R22" i="13"/>
  <c r="N22" i="13"/>
  <c r="O22" i="13" s="1"/>
  <c r="P22" i="13" s="1"/>
  <c r="Q22" i="13" s="1"/>
  <c r="G22" i="13" s="1"/>
  <c r="M22" i="13"/>
  <c r="J22" i="13"/>
  <c r="K22" i="13" s="1"/>
  <c r="L22" i="13" s="1"/>
  <c r="H22" i="13" s="1"/>
  <c r="I22" i="13"/>
  <c r="R21" i="13"/>
  <c r="O21" i="13"/>
  <c r="P21" i="13" s="1"/>
  <c r="Q21" i="13" s="1"/>
  <c r="G21" i="13" s="1"/>
  <c r="N21" i="13"/>
  <c r="M21" i="13"/>
  <c r="I21" i="13"/>
  <c r="J21" i="13" s="1"/>
  <c r="K21" i="13" s="1"/>
  <c r="L21" i="13" s="1"/>
  <c r="H21" i="13" s="1"/>
  <c r="R20" i="13"/>
  <c r="N20" i="13"/>
  <c r="O20" i="13" s="1"/>
  <c r="P20" i="13" s="1"/>
  <c r="Q20" i="13" s="1"/>
  <c r="G20" i="13" s="1"/>
  <c r="M20" i="13"/>
  <c r="I20" i="13"/>
  <c r="J20" i="13" s="1"/>
  <c r="K20" i="13" s="1"/>
  <c r="L20" i="13" s="1"/>
  <c r="H20" i="13" s="1"/>
  <c r="R19" i="13"/>
  <c r="N19" i="13"/>
  <c r="O19" i="13" s="1"/>
  <c r="P19" i="13" s="1"/>
  <c r="Q19" i="13" s="1"/>
  <c r="G19" i="13" s="1"/>
  <c r="M19" i="13"/>
  <c r="J19" i="13"/>
  <c r="K19" i="13" s="1"/>
  <c r="L19" i="13" s="1"/>
  <c r="H19" i="13" s="1"/>
  <c r="I19" i="13"/>
  <c r="R18" i="13"/>
  <c r="O18" i="13"/>
  <c r="P18" i="13" s="1"/>
  <c r="Q18" i="13" s="1"/>
  <c r="G18" i="13" s="1"/>
  <c r="N18" i="13"/>
  <c r="M18" i="13"/>
  <c r="I18" i="13"/>
  <c r="J18" i="13" s="1"/>
  <c r="K18" i="13" s="1"/>
  <c r="L18" i="13" s="1"/>
  <c r="H18" i="13"/>
  <c r="R17" i="13"/>
  <c r="N17" i="13"/>
  <c r="O17" i="13" s="1"/>
  <c r="P17" i="13" s="1"/>
  <c r="Q17" i="13" s="1"/>
  <c r="G17" i="13" s="1"/>
  <c r="M17" i="13"/>
  <c r="I17" i="13"/>
  <c r="J17" i="13" s="1"/>
  <c r="K17" i="13" s="1"/>
  <c r="L17" i="13" s="1"/>
  <c r="H17" i="13" s="1"/>
  <c r="R16" i="13"/>
  <c r="N16" i="13"/>
  <c r="O16" i="13" s="1"/>
  <c r="P16" i="13" s="1"/>
  <c r="Q16" i="13" s="1"/>
  <c r="G16" i="13" s="1"/>
  <c r="M16" i="13"/>
  <c r="I16" i="13"/>
  <c r="J16" i="13" s="1"/>
  <c r="K16" i="13" s="1"/>
  <c r="L16" i="13" s="1"/>
  <c r="H16" i="13" s="1"/>
  <c r="R15" i="13"/>
  <c r="N15" i="13"/>
  <c r="O15" i="13" s="1"/>
  <c r="P15" i="13" s="1"/>
  <c r="Q15" i="13" s="1"/>
  <c r="G15" i="13" s="1"/>
  <c r="M15" i="13"/>
  <c r="I15" i="13"/>
  <c r="J15" i="13" s="1"/>
  <c r="K15" i="13" s="1"/>
  <c r="L15" i="13" s="1"/>
  <c r="R14" i="13"/>
  <c r="N14" i="13"/>
  <c r="O14" i="13" s="1"/>
  <c r="P14" i="13" s="1"/>
  <c r="Q14" i="13" s="1"/>
  <c r="G14" i="13" s="1"/>
  <c r="M14" i="13"/>
  <c r="I14" i="13"/>
  <c r="J14" i="13" s="1"/>
  <c r="K14" i="13" s="1"/>
  <c r="L14" i="13" s="1"/>
  <c r="H14" i="13" s="1"/>
  <c r="R13" i="13"/>
  <c r="N13" i="13"/>
  <c r="O13" i="13" s="1"/>
  <c r="P13" i="13" s="1"/>
  <c r="Q13" i="13" s="1"/>
  <c r="M13" i="13"/>
  <c r="I13" i="13"/>
  <c r="J13" i="13" s="1"/>
  <c r="K13" i="13" s="1"/>
  <c r="L13" i="13" s="1"/>
  <c r="H13" i="13" s="1"/>
  <c r="R12" i="13"/>
  <c r="N12" i="13"/>
  <c r="O12" i="13" s="1"/>
  <c r="P12" i="13" s="1"/>
  <c r="Q12" i="13" s="1"/>
  <c r="M12" i="13"/>
  <c r="I12" i="13"/>
  <c r="J12" i="13" s="1"/>
  <c r="K12" i="13" s="1"/>
  <c r="L12" i="13" s="1"/>
  <c r="R11" i="13"/>
  <c r="N11" i="13"/>
  <c r="O11" i="13" s="1"/>
  <c r="P11" i="13" s="1"/>
  <c r="Q11" i="13" s="1"/>
  <c r="G11" i="13" s="1"/>
  <c r="M11" i="13"/>
  <c r="I11" i="13"/>
  <c r="J11" i="13" s="1"/>
  <c r="K11" i="13" s="1"/>
  <c r="L11" i="13" s="1"/>
  <c r="R10" i="13"/>
  <c r="O10" i="13"/>
  <c r="P10" i="13" s="1"/>
  <c r="Q10" i="13" s="1"/>
  <c r="N10" i="13"/>
  <c r="M10" i="13"/>
  <c r="J10" i="13"/>
  <c r="K10" i="13" s="1"/>
  <c r="L10" i="13" s="1"/>
  <c r="I10" i="13"/>
  <c r="R9" i="13"/>
  <c r="N9" i="13"/>
  <c r="O9" i="13" s="1"/>
  <c r="P9" i="13" s="1"/>
  <c r="Q9" i="13" s="1"/>
  <c r="G9" i="13" s="1"/>
  <c r="M9" i="13"/>
  <c r="I9" i="13"/>
  <c r="J9" i="13" s="1"/>
  <c r="K9" i="13" s="1"/>
  <c r="L9" i="13" s="1"/>
  <c r="H9" i="13" s="1"/>
  <c r="R8" i="13"/>
  <c r="N8" i="13"/>
  <c r="O8" i="13" s="1"/>
  <c r="P8" i="13" s="1"/>
  <c r="Q8" i="13" s="1"/>
  <c r="G8" i="13" s="1"/>
  <c r="M8" i="13"/>
  <c r="I8" i="13"/>
  <c r="J8" i="13" s="1"/>
  <c r="K8" i="13" s="1"/>
  <c r="L8" i="13" s="1"/>
  <c r="R7" i="13"/>
  <c r="N7" i="13"/>
  <c r="O7" i="13" s="1"/>
  <c r="P7" i="13" s="1"/>
  <c r="Q7" i="13" s="1"/>
  <c r="M7" i="13"/>
  <c r="I7" i="13"/>
  <c r="J7" i="13" s="1"/>
  <c r="K7" i="13" s="1"/>
  <c r="L7" i="13" s="1"/>
  <c r="R6" i="13"/>
  <c r="N6" i="13"/>
  <c r="O6" i="13" s="1"/>
  <c r="P6" i="13" s="1"/>
  <c r="Q6" i="13" s="1"/>
  <c r="M6" i="13"/>
  <c r="I6" i="13"/>
  <c r="J6" i="13" s="1"/>
  <c r="K6" i="13" s="1"/>
  <c r="L6" i="13" s="1"/>
  <c r="R5" i="13"/>
  <c r="N5" i="13"/>
  <c r="O5" i="13" s="1"/>
  <c r="P5" i="13" s="1"/>
  <c r="Q5" i="13" s="1"/>
  <c r="M5" i="13"/>
  <c r="I5" i="13"/>
  <c r="J5" i="13" s="1"/>
  <c r="K5" i="13" s="1"/>
  <c r="L5" i="13" s="1"/>
  <c r="H5" i="13" s="1"/>
  <c r="R4" i="13"/>
  <c r="N4" i="13"/>
  <c r="O4" i="13" s="1"/>
  <c r="P4" i="13" s="1"/>
  <c r="M4" i="13"/>
  <c r="I4" i="13"/>
  <c r="J4" i="13" s="1"/>
  <c r="F1" i="13"/>
  <c r="E1" i="13"/>
  <c r="D1" i="13"/>
  <c r="C1" i="13"/>
  <c r="B1" i="13"/>
  <c r="P3" i="15" l="1"/>
  <c r="Q4" i="15"/>
  <c r="L4" i="14"/>
  <c r="K3" i="14"/>
  <c r="Q4" i="14"/>
  <c r="P3" i="14"/>
  <c r="G6" i="13"/>
  <c r="G5" i="13"/>
  <c r="H15" i="13"/>
  <c r="H12" i="13"/>
  <c r="G1" i="13"/>
  <c r="G13" i="13"/>
  <c r="H11" i="13"/>
  <c r="H10" i="13"/>
  <c r="G10" i="13"/>
  <c r="H8" i="13"/>
  <c r="G7" i="13"/>
  <c r="M3" i="13"/>
  <c r="H7" i="13"/>
  <c r="H6" i="13"/>
  <c r="N3" i="13"/>
  <c r="O3" i="13"/>
  <c r="Q4" i="13"/>
  <c r="P3" i="13"/>
  <c r="R3" i="13"/>
  <c r="I3" i="13"/>
  <c r="G12" i="13"/>
  <c r="K4" i="13"/>
  <c r="J3" i="13"/>
  <c r="R51" i="12"/>
  <c r="N51" i="12"/>
  <c r="O51" i="12" s="1"/>
  <c r="P51" i="12" s="1"/>
  <c r="Q51" i="12" s="1"/>
  <c r="G51" i="12" s="1"/>
  <c r="M51" i="12"/>
  <c r="I51" i="12"/>
  <c r="J51" i="12" s="1"/>
  <c r="K51" i="12" s="1"/>
  <c r="L51" i="12" s="1"/>
  <c r="H51" i="12" s="1"/>
  <c r="R50" i="12"/>
  <c r="N50" i="12"/>
  <c r="O50" i="12" s="1"/>
  <c r="P50" i="12" s="1"/>
  <c r="Q50" i="12" s="1"/>
  <c r="G50" i="12" s="1"/>
  <c r="M50" i="12"/>
  <c r="I50" i="12"/>
  <c r="J50" i="12" s="1"/>
  <c r="K50" i="12" s="1"/>
  <c r="L50" i="12" s="1"/>
  <c r="H50" i="12" s="1"/>
  <c r="R49" i="12"/>
  <c r="N49" i="12"/>
  <c r="O49" i="12" s="1"/>
  <c r="P49" i="12" s="1"/>
  <c r="Q49" i="12" s="1"/>
  <c r="G49" i="12" s="1"/>
  <c r="M49" i="12"/>
  <c r="I49" i="12"/>
  <c r="J49" i="12" s="1"/>
  <c r="K49" i="12" s="1"/>
  <c r="L49" i="12" s="1"/>
  <c r="H49" i="12" s="1"/>
  <c r="R48" i="12"/>
  <c r="N48" i="12"/>
  <c r="O48" i="12" s="1"/>
  <c r="P48" i="12" s="1"/>
  <c r="Q48" i="12" s="1"/>
  <c r="G48" i="12" s="1"/>
  <c r="M48" i="12"/>
  <c r="I48" i="12"/>
  <c r="J48" i="12" s="1"/>
  <c r="K48" i="12" s="1"/>
  <c r="L48" i="12" s="1"/>
  <c r="H48" i="12" s="1"/>
  <c r="R47" i="12"/>
  <c r="N47" i="12"/>
  <c r="O47" i="12" s="1"/>
  <c r="P47" i="12" s="1"/>
  <c r="Q47" i="12" s="1"/>
  <c r="G47" i="12" s="1"/>
  <c r="M47" i="12"/>
  <c r="I47" i="12"/>
  <c r="J47" i="12" s="1"/>
  <c r="K47" i="12" s="1"/>
  <c r="L47" i="12" s="1"/>
  <c r="H47" i="12" s="1"/>
  <c r="R46" i="12"/>
  <c r="N46" i="12"/>
  <c r="O46" i="12" s="1"/>
  <c r="P46" i="12" s="1"/>
  <c r="Q46" i="12" s="1"/>
  <c r="G46" i="12" s="1"/>
  <c r="M46" i="12"/>
  <c r="I46" i="12"/>
  <c r="J46" i="12" s="1"/>
  <c r="K46" i="12" s="1"/>
  <c r="L46" i="12" s="1"/>
  <c r="H46" i="12" s="1"/>
  <c r="R45" i="12"/>
  <c r="N45" i="12"/>
  <c r="O45" i="12" s="1"/>
  <c r="P45" i="12" s="1"/>
  <c r="Q45" i="12" s="1"/>
  <c r="G45" i="12" s="1"/>
  <c r="M45" i="12"/>
  <c r="I45" i="12"/>
  <c r="J45" i="12" s="1"/>
  <c r="K45" i="12" s="1"/>
  <c r="L45" i="12" s="1"/>
  <c r="H45" i="12" s="1"/>
  <c r="R44" i="12"/>
  <c r="N44" i="12"/>
  <c r="O44" i="12" s="1"/>
  <c r="P44" i="12" s="1"/>
  <c r="Q44" i="12" s="1"/>
  <c r="G44" i="12" s="1"/>
  <c r="M44" i="12"/>
  <c r="I44" i="12"/>
  <c r="J44" i="12" s="1"/>
  <c r="K44" i="12" s="1"/>
  <c r="L44" i="12" s="1"/>
  <c r="H44" i="12" s="1"/>
  <c r="R43" i="12"/>
  <c r="N43" i="12"/>
  <c r="O43" i="12" s="1"/>
  <c r="P43" i="12" s="1"/>
  <c r="Q43" i="12" s="1"/>
  <c r="G43" i="12" s="1"/>
  <c r="M43" i="12"/>
  <c r="I43" i="12"/>
  <c r="J43" i="12" s="1"/>
  <c r="K43" i="12" s="1"/>
  <c r="L43" i="12" s="1"/>
  <c r="H43" i="12" s="1"/>
  <c r="R42" i="12"/>
  <c r="N42" i="12"/>
  <c r="O42" i="12" s="1"/>
  <c r="P42" i="12" s="1"/>
  <c r="Q42" i="12" s="1"/>
  <c r="G42" i="12" s="1"/>
  <c r="M42" i="12"/>
  <c r="I42" i="12"/>
  <c r="J42" i="12" s="1"/>
  <c r="K42" i="12" s="1"/>
  <c r="L42" i="12" s="1"/>
  <c r="H42" i="12" s="1"/>
  <c r="R41" i="12"/>
  <c r="N41" i="12"/>
  <c r="O41" i="12" s="1"/>
  <c r="P41" i="12" s="1"/>
  <c r="Q41" i="12" s="1"/>
  <c r="G41" i="12" s="1"/>
  <c r="M41" i="12"/>
  <c r="I41" i="12"/>
  <c r="J41" i="12" s="1"/>
  <c r="K41" i="12" s="1"/>
  <c r="L41" i="12" s="1"/>
  <c r="H41" i="12" s="1"/>
  <c r="R40" i="12"/>
  <c r="N40" i="12"/>
  <c r="O40" i="12" s="1"/>
  <c r="P40" i="12" s="1"/>
  <c r="Q40" i="12" s="1"/>
  <c r="G40" i="12" s="1"/>
  <c r="M40" i="12"/>
  <c r="I40" i="12"/>
  <c r="J40" i="12" s="1"/>
  <c r="K40" i="12" s="1"/>
  <c r="L40" i="12" s="1"/>
  <c r="H40" i="12" s="1"/>
  <c r="R39" i="12"/>
  <c r="N39" i="12"/>
  <c r="O39" i="12" s="1"/>
  <c r="P39" i="12" s="1"/>
  <c r="Q39" i="12" s="1"/>
  <c r="G39" i="12" s="1"/>
  <c r="M39" i="12"/>
  <c r="I39" i="12"/>
  <c r="J39" i="12" s="1"/>
  <c r="K39" i="12" s="1"/>
  <c r="L39" i="12" s="1"/>
  <c r="H39" i="12" s="1"/>
  <c r="R38" i="12"/>
  <c r="N38" i="12"/>
  <c r="O38" i="12" s="1"/>
  <c r="P38" i="12" s="1"/>
  <c r="Q38" i="12" s="1"/>
  <c r="G38" i="12" s="1"/>
  <c r="M38" i="12"/>
  <c r="I38" i="12"/>
  <c r="J38" i="12" s="1"/>
  <c r="K38" i="12" s="1"/>
  <c r="L38" i="12" s="1"/>
  <c r="H38" i="12" s="1"/>
  <c r="R37" i="12"/>
  <c r="N37" i="12"/>
  <c r="O37" i="12" s="1"/>
  <c r="P37" i="12" s="1"/>
  <c r="Q37" i="12" s="1"/>
  <c r="G37" i="12" s="1"/>
  <c r="M37" i="12"/>
  <c r="I37" i="12"/>
  <c r="J37" i="12" s="1"/>
  <c r="K37" i="12" s="1"/>
  <c r="L37" i="12" s="1"/>
  <c r="H37" i="12"/>
  <c r="R36" i="12"/>
  <c r="N36" i="12"/>
  <c r="O36" i="12" s="1"/>
  <c r="P36" i="12" s="1"/>
  <c r="Q36" i="12" s="1"/>
  <c r="G36" i="12" s="1"/>
  <c r="M36" i="12"/>
  <c r="I36" i="12"/>
  <c r="J36" i="12" s="1"/>
  <c r="K36" i="12" s="1"/>
  <c r="L36" i="12" s="1"/>
  <c r="H36" i="12" s="1"/>
  <c r="R35" i="12"/>
  <c r="N35" i="12"/>
  <c r="O35" i="12" s="1"/>
  <c r="P35" i="12" s="1"/>
  <c r="Q35" i="12" s="1"/>
  <c r="G35" i="12" s="1"/>
  <c r="M35" i="12"/>
  <c r="K35" i="12"/>
  <c r="L35" i="12" s="1"/>
  <c r="H35" i="12" s="1"/>
  <c r="I35" i="12"/>
  <c r="J35" i="12" s="1"/>
  <c r="R34" i="12"/>
  <c r="N34" i="12"/>
  <c r="O34" i="12" s="1"/>
  <c r="P34" i="12" s="1"/>
  <c r="Q34" i="12" s="1"/>
  <c r="G34" i="12" s="1"/>
  <c r="M34" i="12"/>
  <c r="I34" i="12"/>
  <c r="J34" i="12" s="1"/>
  <c r="K34" i="12" s="1"/>
  <c r="L34" i="12" s="1"/>
  <c r="H34" i="12" s="1"/>
  <c r="R33" i="12"/>
  <c r="N33" i="12"/>
  <c r="O33" i="12" s="1"/>
  <c r="P33" i="12" s="1"/>
  <c r="Q33" i="12" s="1"/>
  <c r="G33" i="12" s="1"/>
  <c r="M33" i="12"/>
  <c r="I33" i="12"/>
  <c r="J33" i="12" s="1"/>
  <c r="K33" i="12" s="1"/>
  <c r="L33" i="12" s="1"/>
  <c r="H33" i="12" s="1"/>
  <c r="R32" i="12"/>
  <c r="N32" i="12"/>
  <c r="O32" i="12" s="1"/>
  <c r="P32" i="12" s="1"/>
  <c r="Q32" i="12" s="1"/>
  <c r="G32" i="12" s="1"/>
  <c r="M32" i="12"/>
  <c r="I32" i="12"/>
  <c r="J32" i="12" s="1"/>
  <c r="K32" i="12" s="1"/>
  <c r="L32" i="12" s="1"/>
  <c r="H32" i="12" s="1"/>
  <c r="R31" i="12"/>
  <c r="N31" i="12"/>
  <c r="O31" i="12" s="1"/>
  <c r="P31" i="12" s="1"/>
  <c r="Q31" i="12" s="1"/>
  <c r="G31" i="12" s="1"/>
  <c r="M31" i="12"/>
  <c r="I31" i="12"/>
  <c r="J31" i="12" s="1"/>
  <c r="K31" i="12" s="1"/>
  <c r="L31" i="12" s="1"/>
  <c r="H31" i="12" s="1"/>
  <c r="R30" i="12"/>
  <c r="N30" i="12"/>
  <c r="O30" i="12" s="1"/>
  <c r="P30" i="12" s="1"/>
  <c r="Q30" i="12" s="1"/>
  <c r="G30" i="12" s="1"/>
  <c r="M30" i="12"/>
  <c r="K30" i="12"/>
  <c r="L30" i="12" s="1"/>
  <c r="H30" i="12" s="1"/>
  <c r="I30" i="12"/>
  <c r="J30" i="12" s="1"/>
  <c r="R29" i="12"/>
  <c r="N29" i="12"/>
  <c r="O29" i="12" s="1"/>
  <c r="P29" i="12" s="1"/>
  <c r="Q29" i="12" s="1"/>
  <c r="G29" i="12" s="1"/>
  <c r="M29" i="12"/>
  <c r="I29" i="12"/>
  <c r="J29" i="12" s="1"/>
  <c r="K29" i="12" s="1"/>
  <c r="L29" i="12" s="1"/>
  <c r="H29" i="12" s="1"/>
  <c r="R28" i="12"/>
  <c r="Q28" i="12"/>
  <c r="G28" i="12" s="1"/>
  <c r="O28" i="12"/>
  <c r="P28" i="12" s="1"/>
  <c r="N28" i="12"/>
  <c r="M28" i="12"/>
  <c r="I28" i="12"/>
  <c r="J28" i="12" s="1"/>
  <c r="K28" i="12" s="1"/>
  <c r="L28" i="12" s="1"/>
  <c r="H28" i="12" s="1"/>
  <c r="R27" i="12"/>
  <c r="N27" i="12"/>
  <c r="O27" i="12" s="1"/>
  <c r="P27" i="12" s="1"/>
  <c r="Q27" i="12" s="1"/>
  <c r="G27" i="12" s="1"/>
  <c r="M27" i="12"/>
  <c r="K27" i="12"/>
  <c r="L27" i="12" s="1"/>
  <c r="H27" i="12" s="1"/>
  <c r="I27" i="12"/>
  <c r="J27" i="12" s="1"/>
  <c r="R26" i="12"/>
  <c r="O26" i="12"/>
  <c r="P26" i="12" s="1"/>
  <c r="Q26" i="12" s="1"/>
  <c r="G26" i="12" s="1"/>
  <c r="N26" i="12"/>
  <c r="M26" i="12"/>
  <c r="I26" i="12"/>
  <c r="J26" i="12" s="1"/>
  <c r="K26" i="12" s="1"/>
  <c r="L26" i="12" s="1"/>
  <c r="H26" i="12" s="1"/>
  <c r="R25" i="12"/>
  <c r="N25" i="12"/>
  <c r="O25" i="12" s="1"/>
  <c r="P25" i="12" s="1"/>
  <c r="Q25" i="12" s="1"/>
  <c r="G25" i="12" s="1"/>
  <c r="M25" i="12"/>
  <c r="I25" i="12"/>
  <c r="J25" i="12" s="1"/>
  <c r="K25" i="12" s="1"/>
  <c r="L25" i="12" s="1"/>
  <c r="H25" i="12" s="1"/>
  <c r="R24" i="12"/>
  <c r="N24" i="12"/>
  <c r="O24" i="12" s="1"/>
  <c r="P24" i="12" s="1"/>
  <c r="Q24" i="12" s="1"/>
  <c r="G24" i="12" s="1"/>
  <c r="M24" i="12"/>
  <c r="J24" i="12"/>
  <c r="K24" i="12" s="1"/>
  <c r="L24" i="12" s="1"/>
  <c r="H24" i="12" s="1"/>
  <c r="I24" i="12"/>
  <c r="R23" i="12"/>
  <c r="O23" i="12"/>
  <c r="P23" i="12" s="1"/>
  <c r="Q23" i="12" s="1"/>
  <c r="G23" i="12" s="1"/>
  <c r="N23" i="12"/>
  <c r="M23" i="12"/>
  <c r="I23" i="12"/>
  <c r="J23" i="12" s="1"/>
  <c r="K23" i="12" s="1"/>
  <c r="L23" i="12" s="1"/>
  <c r="H23" i="12" s="1"/>
  <c r="R22" i="12"/>
  <c r="N22" i="12"/>
  <c r="O22" i="12" s="1"/>
  <c r="P22" i="12" s="1"/>
  <c r="Q22" i="12" s="1"/>
  <c r="G22" i="12" s="1"/>
  <c r="M22" i="12"/>
  <c r="I22" i="12"/>
  <c r="J22" i="12" s="1"/>
  <c r="K22" i="12" s="1"/>
  <c r="L22" i="12" s="1"/>
  <c r="H22" i="12" s="1"/>
  <c r="R21" i="12"/>
  <c r="N21" i="12"/>
  <c r="O21" i="12" s="1"/>
  <c r="P21" i="12" s="1"/>
  <c r="Q21" i="12" s="1"/>
  <c r="G21" i="12" s="1"/>
  <c r="M21" i="12"/>
  <c r="J21" i="12"/>
  <c r="K21" i="12" s="1"/>
  <c r="L21" i="12" s="1"/>
  <c r="H21" i="12" s="1"/>
  <c r="I21" i="12"/>
  <c r="R20" i="12"/>
  <c r="O20" i="12"/>
  <c r="P20" i="12" s="1"/>
  <c r="Q20" i="12" s="1"/>
  <c r="G20" i="12" s="1"/>
  <c r="N20" i="12"/>
  <c r="M20" i="12"/>
  <c r="I20" i="12"/>
  <c r="J20" i="12" s="1"/>
  <c r="K20" i="12" s="1"/>
  <c r="L20" i="12" s="1"/>
  <c r="H20" i="12" s="1"/>
  <c r="R19" i="12"/>
  <c r="N19" i="12"/>
  <c r="O19" i="12" s="1"/>
  <c r="P19" i="12" s="1"/>
  <c r="Q19" i="12" s="1"/>
  <c r="G19" i="12" s="1"/>
  <c r="M19" i="12"/>
  <c r="I19" i="12"/>
  <c r="J19" i="12" s="1"/>
  <c r="K19" i="12" s="1"/>
  <c r="L19" i="12" s="1"/>
  <c r="H19" i="12" s="1"/>
  <c r="R18" i="12"/>
  <c r="N18" i="12"/>
  <c r="O18" i="12" s="1"/>
  <c r="P18" i="12" s="1"/>
  <c r="Q18" i="12" s="1"/>
  <c r="G18" i="12" s="1"/>
  <c r="M18" i="12"/>
  <c r="J18" i="12"/>
  <c r="K18" i="12" s="1"/>
  <c r="L18" i="12" s="1"/>
  <c r="H18" i="12" s="1"/>
  <c r="I18" i="12"/>
  <c r="R17" i="12"/>
  <c r="N17" i="12"/>
  <c r="O17" i="12" s="1"/>
  <c r="P17" i="12" s="1"/>
  <c r="Q17" i="12" s="1"/>
  <c r="G17" i="12" s="1"/>
  <c r="M17" i="12"/>
  <c r="I17" i="12"/>
  <c r="J17" i="12" s="1"/>
  <c r="K17" i="12" s="1"/>
  <c r="L17" i="12" s="1"/>
  <c r="H17" i="12" s="1"/>
  <c r="R16" i="12"/>
  <c r="N16" i="12"/>
  <c r="O16" i="12" s="1"/>
  <c r="P16" i="12" s="1"/>
  <c r="Q16" i="12" s="1"/>
  <c r="G16" i="12" s="1"/>
  <c r="M16" i="12"/>
  <c r="I16" i="12"/>
  <c r="J16" i="12" s="1"/>
  <c r="K16" i="12" s="1"/>
  <c r="L16" i="12" s="1"/>
  <c r="H16" i="12" s="1"/>
  <c r="R15" i="12"/>
  <c r="N15" i="12"/>
  <c r="O15" i="12" s="1"/>
  <c r="P15" i="12" s="1"/>
  <c r="Q15" i="12" s="1"/>
  <c r="M15" i="12"/>
  <c r="I15" i="12"/>
  <c r="J15" i="12" s="1"/>
  <c r="K15" i="12" s="1"/>
  <c r="L15" i="12" s="1"/>
  <c r="R14" i="12"/>
  <c r="N14" i="12"/>
  <c r="O14" i="12" s="1"/>
  <c r="P14" i="12" s="1"/>
  <c r="Q14" i="12" s="1"/>
  <c r="M14" i="12"/>
  <c r="I14" i="12"/>
  <c r="J14" i="12" s="1"/>
  <c r="K14" i="12" s="1"/>
  <c r="L14" i="12" s="1"/>
  <c r="R13" i="12"/>
  <c r="N13" i="12"/>
  <c r="O13" i="12" s="1"/>
  <c r="P13" i="12" s="1"/>
  <c r="Q13" i="12" s="1"/>
  <c r="G13" i="12" s="1"/>
  <c r="M13" i="12"/>
  <c r="I13" i="12"/>
  <c r="J13" i="12" s="1"/>
  <c r="K13" i="12" s="1"/>
  <c r="L13" i="12" s="1"/>
  <c r="R12" i="12"/>
  <c r="N12" i="12"/>
  <c r="O12" i="12" s="1"/>
  <c r="P12" i="12" s="1"/>
  <c r="Q12" i="12" s="1"/>
  <c r="M12" i="12"/>
  <c r="I12" i="12"/>
  <c r="J12" i="12" s="1"/>
  <c r="K12" i="12" s="1"/>
  <c r="L12" i="12" s="1"/>
  <c r="H12" i="12" s="1"/>
  <c r="R11" i="12"/>
  <c r="N11" i="12"/>
  <c r="O11" i="12" s="1"/>
  <c r="P11" i="12" s="1"/>
  <c r="Q11" i="12" s="1"/>
  <c r="M11" i="12"/>
  <c r="I11" i="12"/>
  <c r="J11" i="12" s="1"/>
  <c r="K11" i="12" s="1"/>
  <c r="L11" i="12" s="1"/>
  <c r="H11" i="12" s="1"/>
  <c r="R10" i="12"/>
  <c r="N10" i="12"/>
  <c r="O10" i="12" s="1"/>
  <c r="P10" i="12" s="1"/>
  <c r="Q10" i="12" s="1"/>
  <c r="G10" i="12" s="1"/>
  <c r="M10" i="12"/>
  <c r="I10" i="12"/>
  <c r="J10" i="12" s="1"/>
  <c r="K10" i="12" s="1"/>
  <c r="L10" i="12" s="1"/>
  <c r="R9" i="12"/>
  <c r="N9" i="12"/>
  <c r="O9" i="12" s="1"/>
  <c r="P9" i="12" s="1"/>
  <c r="Q9" i="12" s="1"/>
  <c r="M9" i="12"/>
  <c r="I9" i="12"/>
  <c r="J9" i="12" s="1"/>
  <c r="K9" i="12" s="1"/>
  <c r="L9" i="12" s="1"/>
  <c r="H9" i="12" s="1"/>
  <c r="R8" i="12"/>
  <c r="N8" i="12"/>
  <c r="O8" i="12" s="1"/>
  <c r="P8" i="12" s="1"/>
  <c r="Q8" i="12" s="1"/>
  <c r="G8" i="12" s="1"/>
  <c r="M8" i="12"/>
  <c r="I8" i="12"/>
  <c r="J8" i="12" s="1"/>
  <c r="K8" i="12" s="1"/>
  <c r="L8" i="12" s="1"/>
  <c r="H8" i="12" s="1"/>
  <c r="R7" i="12"/>
  <c r="N7" i="12"/>
  <c r="O7" i="12" s="1"/>
  <c r="P7" i="12" s="1"/>
  <c r="Q7" i="12" s="1"/>
  <c r="M7" i="12"/>
  <c r="I7" i="12"/>
  <c r="J7" i="12" s="1"/>
  <c r="K7" i="12" s="1"/>
  <c r="L7" i="12" s="1"/>
  <c r="H7" i="12" s="1"/>
  <c r="R6" i="12"/>
  <c r="N6" i="12"/>
  <c r="O6" i="12" s="1"/>
  <c r="P6" i="12" s="1"/>
  <c r="Q6" i="12" s="1"/>
  <c r="G6" i="12" s="1"/>
  <c r="M6" i="12"/>
  <c r="I6" i="12"/>
  <c r="R5" i="12"/>
  <c r="N5" i="12"/>
  <c r="O5" i="12" s="1"/>
  <c r="P5" i="12" s="1"/>
  <c r="Q5" i="12" s="1"/>
  <c r="M5" i="12"/>
  <c r="I5" i="12"/>
  <c r="J5" i="12" s="1"/>
  <c r="K5" i="12" s="1"/>
  <c r="L5" i="12" s="1"/>
  <c r="R4" i="12"/>
  <c r="N4" i="12"/>
  <c r="M4" i="12"/>
  <c r="I4" i="12"/>
  <c r="J4" i="12" s="1"/>
  <c r="F1" i="12"/>
  <c r="E1" i="12"/>
  <c r="D1" i="12"/>
  <c r="C1" i="12"/>
  <c r="B1" i="12"/>
  <c r="G4" i="15" l="1"/>
  <c r="Q3" i="15"/>
  <c r="G3" i="15" s="1"/>
  <c r="G4" i="14"/>
  <c r="Q3" i="14"/>
  <c r="G3" i="14" s="1"/>
  <c r="L3" i="14"/>
  <c r="H3" i="14" s="1"/>
  <c r="H4" i="14"/>
  <c r="G4" i="13"/>
  <c r="Q3" i="13"/>
  <c r="G3" i="13" s="1"/>
  <c r="K3" i="13"/>
  <c r="L4" i="13"/>
  <c r="G9" i="12"/>
  <c r="N3" i="12"/>
  <c r="H13" i="12"/>
  <c r="I3" i="12"/>
  <c r="J6" i="12"/>
  <c r="K6" i="12" s="1"/>
  <c r="L6" i="12" s="1"/>
  <c r="H6" i="12" s="1"/>
  <c r="G1" i="12"/>
  <c r="H15" i="12"/>
  <c r="G15" i="12"/>
  <c r="H14" i="12"/>
  <c r="G14" i="12"/>
  <c r="G12" i="12"/>
  <c r="G11" i="12"/>
  <c r="H10" i="12"/>
  <c r="R3" i="12"/>
  <c r="G7" i="12"/>
  <c r="H5" i="12"/>
  <c r="M3" i="12"/>
  <c r="G5" i="12"/>
  <c r="J3" i="12"/>
  <c r="K4" i="12"/>
  <c r="O4" i="12"/>
  <c r="R51" i="11"/>
  <c r="N51" i="11"/>
  <c r="O51" i="11" s="1"/>
  <c r="P51" i="11" s="1"/>
  <c r="Q51" i="11" s="1"/>
  <c r="G51" i="11" s="1"/>
  <c r="M51" i="11"/>
  <c r="I51" i="11"/>
  <c r="J51" i="11" s="1"/>
  <c r="K51" i="11" s="1"/>
  <c r="L51" i="11" s="1"/>
  <c r="H51" i="11" s="1"/>
  <c r="R50" i="11"/>
  <c r="N50" i="11"/>
  <c r="O50" i="11" s="1"/>
  <c r="P50" i="11" s="1"/>
  <c r="Q50" i="11" s="1"/>
  <c r="G50" i="11" s="1"/>
  <c r="M50" i="11"/>
  <c r="I50" i="11"/>
  <c r="J50" i="11" s="1"/>
  <c r="K50" i="11" s="1"/>
  <c r="L50" i="11" s="1"/>
  <c r="H50" i="11" s="1"/>
  <c r="R49" i="11"/>
  <c r="N49" i="11"/>
  <c r="O49" i="11" s="1"/>
  <c r="P49" i="11" s="1"/>
  <c r="Q49" i="11" s="1"/>
  <c r="G49" i="11" s="1"/>
  <c r="M49" i="11"/>
  <c r="I49" i="11"/>
  <c r="J49" i="11" s="1"/>
  <c r="K49" i="11" s="1"/>
  <c r="L49" i="11" s="1"/>
  <c r="H49" i="11" s="1"/>
  <c r="R48" i="11"/>
  <c r="N48" i="11"/>
  <c r="O48" i="11" s="1"/>
  <c r="P48" i="11" s="1"/>
  <c r="Q48" i="11" s="1"/>
  <c r="G48" i="11" s="1"/>
  <c r="M48" i="11"/>
  <c r="I48" i="11"/>
  <c r="J48" i="11" s="1"/>
  <c r="K48" i="11" s="1"/>
  <c r="L48" i="11" s="1"/>
  <c r="H48" i="11" s="1"/>
  <c r="R47" i="11"/>
  <c r="N47" i="11"/>
  <c r="O47" i="11" s="1"/>
  <c r="P47" i="11" s="1"/>
  <c r="Q47" i="11" s="1"/>
  <c r="G47" i="11" s="1"/>
  <c r="M47" i="11"/>
  <c r="I47" i="11"/>
  <c r="J47" i="11" s="1"/>
  <c r="K47" i="11" s="1"/>
  <c r="L47" i="11" s="1"/>
  <c r="H47" i="11" s="1"/>
  <c r="R46" i="11"/>
  <c r="N46" i="11"/>
  <c r="O46" i="11" s="1"/>
  <c r="P46" i="11" s="1"/>
  <c r="Q46" i="11" s="1"/>
  <c r="G46" i="11" s="1"/>
  <c r="M46" i="11"/>
  <c r="I46" i="11"/>
  <c r="J46" i="11" s="1"/>
  <c r="K46" i="11" s="1"/>
  <c r="L46" i="11" s="1"/>
  <c r="H46" i="11" s="1"/>
  <c r="R45" i="11"/>
  <c r="N45" i="11"/>
  <c r="O45" i="11" s="1"/>
  <c r="P45" i="11" s="1"/>
  <c r="Q45" i="11" s="1"/>
  <c r="G45" i="11" s="1"/>
  <c r="M45" i="11"/>
  <c r="I45" i="11"/>
  <c r="J45" i="11" s="1"/>
  <c r="K45" i="11" s="1"/>
  <c r="L45" i="11" s="1"/>
  <c r="H45" i="11" s="1"/>
  <c r="R44" i="11"/>
  <c r="N44" i="11"/>
  <c r="O44" i="11" s="1"/>
  <c r="P44" i="11" s="1"/>
  <c r="Q44" i="11" s="1"/>
  <c r="G44" i="11" s="1"/>
  <c r="M44" i="11"/>
  <c r="I44" i="11"/>
  <c r="J44" i="11" s="1"/>
  <c r="K44" i="11" s="1"/>
  <c r="L44" i="11" s="1"/>
  <c r="H44" i="11" s="1"/>
  <c r="R43" i="11"/>
  <c r="N43" i="11"/>
  <c r="O43" i="11" s="1"/>
  <c r="P43" i="11" s="1"/>
  <c r="Q43" i="11" s="1"/>
  <c r="G43" i="11" s="1"/>
  <c r="M43" i="11"/>
  <c r="I43" i="11"/>
  <c r="J43" i="11" s="1"/>
  <c r="K43" i="11" s="1"/>
  <c r="L43" i="11" s="1"/>
  <c r="H43" i="11" s="1"/>
  <c r="R42" i="11"/>
  <c r="N42" i="11"/>
  <c r="O42" i="11" s="1"/>
  <c r="P42" i="11" s="1"/>
  <c r="Q42" i="11" s="1"/>
  <c r="G42" i="11" s="1"/>
  <c r="M42" i="11"/>
  <c r="I42" i="11"/>
  <c r="J42" i="11" s="1"/>
  <c r="K42" i="11" s="1"/>
  <c r="L42" i="11" s="1"/>
  <c r="H42" i="11" s="1"/>
  <c r="R41" i="11"/>
  <c r="N41" i="11"/>
  <c r="O41" i="11" s="1"/>
  <c r="P41" i="11" s="1"/>
  <c r="Q41" i="11" s="1"/>
  <c r="G41" i="11" s="1"/>
  <c r="M41" i="11"/>
  <c r="I41" i="11"/>
  <c r="J41" i="11" s="1"/>
  <c r="K41" i="11" s="1"/>
  <c r="L41" i="11" s="1"/>
  <c r="H41" i="11" s="1"/>
  <c r="R40" i="11"/>
  <c r="N40" i="11"/>
  <c r="O40" i="11" s="1"/>
  <c r="P40" i="11" s="1"/>
  <c r="Q40" i="11" s="1"/>
  <c r="G40" i="11" s="1"/>
  <c r="M40" i="11"/>
  <c r="I40" i="11"/>
  <c r="J40" i="11" s="1"/>
  <c r="K40" i="11" s="1"/>
  <c r="L40" i="11" s="1"/>
  <c r="H40" i="11" s="1"/>
  <c r="R39" i="11"/>
  <c r="N39" i="11"/>
  <c r="O39" i="11" s="1"/>
  <c r="P39" i="11" s="1"/>
  <c r="Q39" i="11" s="1"/>
  <c r="G39" i="11" s="1"/>
  <c r="M39" i="11"/>
  <c r="I39" i="11"/>
  <c r="J39" i="11" s="1"/>
  <c r="K39" i="11" s="1"/>
  <c r="L39" i="11" s="1"/>
  <c r="H39" i="11" s="1"/>
  <c r="R38" i="11"/>
  <c r="N38" i="11"/>
  <c r="O38" i="11" s="1"/>
  <c r="P38" i="11" s="1"/>
  <c r="Q38" i="11" s="1"/>
  <c r="G38" i="11" s="1"/>
  <c r="M38" i="11"/>
  <c r="I38" i="11"/>
  <c r="J38" i="11" s="1"/>
  <c r="K38" i="11" s="1"/>
  <c r="L38" i="11" s="1"/>
  <c r="H38" i="11" s="1"/>
  <c r="R37" i="11"/>
  <c r="P37" i="11"/>
  <c r="Q37" i="11" s="1"/>
  <c r="G37" i="11" s="1"/>
  <c r="N37" i="11"/>
  <c r="O37" i="11" s="1"/>
  <c r="M37" i="11"/>
  <c r="I37" i="11"/>
  <c r="J37" i="11" s="1"/>
  <c r="K37" i="11" s="1"/>
  <c r="L37" i="11" s="1"/>
  <c r="H37" i="11" s="1"/>
  <c r="R36" i="11"/>
  <c r="N36" i="11"/>
  <c r="O36" i="11" s="1"/>
  <c r="P36" i="11" s="1"/>
  <c r="Q36" i="11" s="1"/>
  <c r="G36" i="11" s="1"/>
  <c r="M36" i="11"/>
  <c r="I36" i="11"/>
  <c r="J36" i="11" s="1"/>
  <c r="K36" i="11" s="1"/>
  <c r="L36" i="11" s="1"/>
  <c r="H36" i="11" s="1"/>
  <c r="R35" i="11"/>
  <c r="N35" i="11"/>
  <c r="O35" i="11" s="1"/>
  <c r="P35" i="11" s="1"/>
  <c r="Q35" i="11" s="1"/>
  <c r="G35" i="11" s="1"/>
  <c r="M35" i="11"/>
  <c r="K35" i="11"/>
  <c r="L35" i="11" s="1"/>
  <c r="H35" i="11" s="1"/>
  <c r="I35" i="11"/>
  <c r="J35" i="11" s="1"/>
  <c r="R34" i="11"/>
  <c r="N34" i="11"/>
  <c r="O34" i="11" s="1"/>
  <c r="P34" i="11" s="1"/>
  <c r="Q34" i="11" s="1"/>
  <c r="G34" i="11" s="1"/>
  <c r="M34" i="11"/>
  <c r="I34" i="11"/>
  <c r="J34" i="11" s="1"/>
  <c r="K34" i="11" s="1"/>
  <c r="L34" i="11" s="1"/>
  <c r="H34" i="11" s="1"/>
  <c r="R33" i="11"/>
  <c r="N33" i="11"/>
  <c r="O33" i="11" s="1"/>
  <c r="P33" i="11" s="1"/>
  <c r="Q33" i="11" s="1"/>
  <c r="G33" i="11" s="1"/>
  <c r="M33" i="11"/>
  <c r="I33" i="11"/>
  <c r="J33" i="11" s="1"/>
  <c r="K33" i="11" s="1"/>
  <c r="L33" i="11" s="1"/>
  <c r="H33" i="11" s="1"/>
  <c r="R32" i="11"/>
  <c r="N32" i="11"/>
  <c r="O32" i="11" s="1"/>
  <c r="P32" i="11" s="1"/>
  <c r="Q32" i="11" s="1"/>
  <c r="G32" i="11" s="1"/>
  <c r="M32" i="11"/>
  <c r="I32" i="11"/>
  <c r="J32" i="11" s="1"/>
  <c r="K32" i="11" s="1"/>
  <c r="L32" i="11" s="1"/>
  <c r="H32" i="11" s="1"/>
  <c r="R31" i="11"/>
  <c r="P31" i="11"/>
  <c r="Q31" i="11" s="1"/>
  <c r="G31" i="11" s="1"/>
  <c r="N31" i="11"/>
  <c r="O31" i="11" s="1"/>
  <c r="M31" i="11"/>
  <c r="I31" i="11"/>
  <c r="J31" i="11" s="1"/>
  <c r="K31" i="11" s="1"/>
  <c r="L31" i="11" s="1"/>
  <c r="H31" i="11" s="1"/>
  <c r="R30" i="11"/>
  <c r="N30" i="11"/>
  <c r="O30" i="11" s="1"/>
  <c r="P30" i="11" s="1"/>
  <c r="Q30" i="11" s="1"/>
  <c r="G30" i="11" s="1"/>
  <c r="M30" i="11"/>
  <c r="I30" i="11"/>
  <c r="J30" i="11" s="1"/>
  <c r="K30" i="11" s="1"/>
  <c r="L30" i="11" s="1"/>
  <c r="H30" i="11" s="1"/>
  <c r="R29" i="11"/>
  <c r="N29" i="11"/>
  <c r="O29" i="11" s="1"/>
  <c r="P29" i="11" s="1"/>
  <c r="Q29" i="11" s="1"/>
  <c r="G29" i="11" s="1"/>
  <c r="M29" i="11"/>
  <c r="K29" i="11"/>
  <c r="L29" i="11" s="1"/>
  <c r="H29" i="11" s="1"/>
  <c r="I29" i="11"/>
  <c r="J29" i="11" s="1"/>
  <c r="R28" i="11"/>
  <c r="N28" i="11"/>
  <c r="O28" i="11" s="1"/>
  <c r="P28" i="11" s="1"/>
  <c r="Q28" i="11" s="1"/>
  <c r="G28" i="11" s="1"/>
  <c r="M28" i="11"/>
  <c r="I28" i="11"/>
  <c r="J28" i="11" s="1"/>
  <c r="K28" i="11" s="1"/>
  <c r="L28" i="11" s="1"/>
  <c r="H28" i="11" s="1"/>
  <c r="R27" i="11"/>
  <c r="N27" i="11"/>
  <c r="O27" i="11" s="1"/>
  <c r="P27" i="11" s="1"/>
  <c r="Q27" i="11" s="1"/>
  <c r="G27" i="11" s="1"/>
  <c r="M27" i="11"/>
  <c r="I27" i="11"/>
  <c r="J27" i="11" s="1"/>
  <c r="K27" i="11" s="1"/>
  <c r="L27" i="11" s="1"/>
  <c r="H27" i="11"/>
  <c r="R26" i="11"/>
  <c r="N26" i="11"/>
  <c r="O26" i="11" s="1"/>
  <c r="P26" i="11" s="1"/>
  <c r="Q26" i="11" s="1"/>
  <c r="G26" i="11" s="1"/>
  <c r="M26" i="11"/>
  <c r="I26" i="11"/>
  <c r="J26" i="11" s="1"/>
  <c r="K26" i="11" s="1"/>
  <c r="L26" i="11" s="1"/>
  <c r="H26" i="11" s="1"/>
  <c r="R25" i="11"/>
  <c r="N25" i="11"/>
  <c r="O25" i="11" s="1"/>
  <c r="P25" i="11" s="1"/>
  <c r="Q25" i="11" s="1"/>
  <c r="G25" i="11" s="1"/>
  <c r="M25" i="11"/>
  <c r="I25" i="11"/>
  <c r="J25" i="11" s="1"/>
  <c r="K25" i="11" s="1"/>
  <c r="L25" i="11" s="1"/>
  <c r="H25" i="11" s="1"/>
  <c r="R24" i="11"/>
  <c r="N24" i="11"/>
  <c r="O24" i="11" s="1"/>
  <c r="P24" i="11" s="1"/>
  <c r="Q24" i="11" s="1"/>
  <c r="G24" i="11" s="1"/>
  <c r="M24" i="11"/>
  <c r="I24" i="11"/>
  <c r="J24" i="11" s="1"/>
  <c r="K24" i="11" s="1"/>
  <c r="L24" i="11" s="1"/>
  <c r="H24" i="11"/>
  <c r="R23" i="11"/>
  <c r="N23" i="11"/>
  <c r="O23" i="11" s="1"/>
  <c r="P23" i="11" s="1"/>
  <c r="Q23" i="11" s="1"/>
  <c r="G23" i="11" s="1"/>
  <c r="M23" i="11"/>
  <c r="I23" i="11"/>
  <c r="J23" i="11" s="1"/>
  <c r="K23" i="11" s="1"/>
  <c r="L23" i="11" s="1"/>
  <c r="H23" i="11" s="1"/>
  <c r="R22" i="11"/>
  <c r="N22" i="11"/>
  <c r="O22" i="11" s="1"/>
  <c r="P22" i="11" s="1"/>
  <c r="Q22" i="11" s="1"/>
  <c r="G22" i="11" s="1"/>
  <c r="M22" i="11"/>
  <c r="I22" i="11"/>
  <c r="J22" i="11" s="1"/>
  <c r="K22" i="11" s="1"/>
  <c r="L22" i="11" s="1"/>
  <c r="H22" i="11" s="1"/>
  <c r="R21" i="11"/>
  <c r="N21" i="11"/>
  <c r="O21" i="11" s="1"/>
  <c r="P21" i="11" s="1"/>
  <c r="Q21" i="11" s="1"/>
  <c r="G21" i="11" s="1"/>
  <c r="M21" i="11"/>
  <c r="I21" i="11"/>
  <c r="J21" i="11" s="1"/>
  <c r="K21" i="11" s="1"/>
  <c r="L21" i="11" s="1"/>
  <c r="H21" i="11"/>
  <c r="R20" i="11"/>
  <c r="N20" i="11"/>
  <c r="O20" i="11" s="1"/>
  <c r="P20" i="11" s="1"/>
  <c r="Q20" i="11" s="1"/>
  <c r="G20" i="11" s="1"/>
  <c r="M20" i="11"/>
  <c r="I20" i="11"/>
  <c r="J20" i="11" s="1"/>
  <c r="K20" i="11" s="1"/>
  <c r="L20" i="11" s="1"/>
  <c r="H20" i="11" s="1"/>
  <c r="R19" i="11"/>
  <c r="N19" i="11"/>
  <c r="O19" i="11" s="1"/>
  <c r="P19" i="11" s="1"/>
  <c r="Q19" i="11" s="1"/>
  <c r="G19" i="11" s="1"/>
  <c r="M19" i="11"/>
  <c r="I19" i="11"/>
  <c r="J19" i="11" s="1"/>
  <c r="K19" i="11" s="1"/>
  <c r="L19" i="11" s="1"/>
  <c r="H19" i="11" s="1"/>
  <c r="R18" i="11"/>
  <c r="N18" i="11"/>
  <c r="O18" i="11" s="1"/>
  <c r="P18" i="11" s="1"/>
  <c r="Q18" i="11" s="1"/>
  <c r="G18" i="11" s="1"/>
  <c r="M18" i="11"/>
  <c r="I18" i="11"/>
  <c r="J18" i="11" s="1"/>
  <c r="K18" i="11" s="1"/>
  <c r="L18" i="11" s="1"/>
  <c r="H18" i="11"/>
  <c r="R17" i="11"/>
  <c r="N17" i="11"/>
  <c r="O17" i="11" s="1"/>
  <c r="P17" i="11" s="1"/>
  <c r="Q17" i="11" s="1"/>
  <c r="G17" i="11" s="1"/>
  <c r="M17" i="11"/>
  <c r="I17" i="11"/>
  <c r="J17" i="11" s="1"/>
  <c r="K17" i="11" s="1"/>
  <c r="L17" i="11" s="1"/>
  <c r="H17" i="11" s="1"/>
  <c r="R16" i="11"/>
  <c r="N16" i="11"/>
  <c r="O16" i="11" s="1"/>
  <c r="P16" i="11" s="1"/>
  <c r="Q16" i="11" s="1"/>
  <c r="G16" i="11" s="1"/>
  <c r="M16" i="11"/>
  <c r="I16" i="11"/>
  <c r="J16" i="11" s="1"/>
  <c r="K16" i="11" s="1"/>
  <c r="L16" i="11" s="1"/>
  <c r="H16" i="11" s="1"/>
  <c r="R15" i="11"/>
  <c r="N15" i="11"/>
  <c r="O15" i="11" s="1"/>
  <c r="P15" i="11" s="1"/>
  <c r="Q15" i="11" s="1"/>
  <c r="G15" i="11" s="1"/>
  <c r="M15" i="11"/>
  <c r="I15" i="11"/>
  <c r="J15" i="11" s="1"/>
  <c r="K15" i="11" s="1"/>
  <c r="L15" i="11" s="1"/>
  <c r="R14" i="11"/>
  <c r="N14" i="11"/>
  <c r="O14" i="11" s="1"/>
  <c r="P14" i="11" s="1"/>
  <c r="Q14" i="11" s="1"/>
  <c r="G14" i="11" s="1"/>
  <c r="M14" i="11"/>
  <c r="I14" i="11"/>
  <c r="J14" i="11" s="1"/>
  <c r="K14" i="11" s="1"/>
  <c r="L14" i="11" s="1"/>
  <c r="R13" i="11"/>
  <c r="N13" i="11"/>
  <c r="O13" i="11" s="1"/>
  <c r="P13" i="11" s="1"/>
  <c r="Q13" i="11" s="1"/>
  <c r="M13" i="11"/>
  <c r="I13" i="11"/>
  <c r="J13" i="11" s="1"/>
  <c r="K13" i="11" s="1"/>
  <c r="L13" i="11" s="1"/>
  <c r="H13" i="11" s="1"/>
  <c r="R12" i="11"/>
  <c r="N12" i="11"/>
  <c r="O12" i="11" s="1"/>
  <c r="P12" i="11" s="1"/>
  <c r="Q12" i="11" s="1"/>
  <c r="G12" i="11" s="1"/>
  <c r="M12" i="11"/>
  <c r="I12" i="11"/>
  <c r="J12" i="11" s="1"/>
  <c r="K12" i="11" s="1"/>
  <c r="L12" i="11" s="1"/>
  <c r="R11" i="11"/>
  <c r="N11" i="11"/>
  <c r="O11" i="11" s="1"/>
  <c r="P11" i="11" s="1"/>
  <c r="Q11" i="11" s="1"/>
  <c r="G11" i="11" s="1"/>
  <c r="M11" i="11"/>
  <c r="I11" i="11"/>
  <c r="J11" i="11" s="1"/>
  <c r="K11" i="11" s="1"/>
  <c r="L11" i="11" s="1"/>
  <c r="H11" i="11" s="1"/>
  <c r="R10" i="11"/>
  <c r="N10" i="11"/>
  <c r="O10" i="11" s="1"/>
  <c r="P10" i="11" s="1"/>
  <c r="Q10" i="11" s="1"/>
  <c r="G10" i="11" s="1"/>
  <c r="M10" i="11"/>
  <c r="I10" i="11"/>
  <c r="J10" i="11" s="1"/>
  <c r="K10" i="11" s="1"/>
  <c r="L10" i="11" s="1"/>
  <c r="H10" i="11" s="1"/>
  <c r="R9" i="11"/>
  <c r="N9" i="11"/>
  <c r="O9" i="11" s="1"/>
  <c r="P9" i="11" s="1"/>
  <c r="Q9" i="11" s="1"/>
  <c r="G9" i="11" s="1"/>
  <c r="M9" i="11"/>
  <c r="I9" i="11"/>
  <c r="J9" i="11" s="1"/>
  <c r="K9" i="11" s="1"/>
  <c r="L9" i="11" s="1"/>
  <c r="R8" i="11"/>
  <c r="N8" i="11"/>
  <c r="O8" i="11" s="1"/>
  <c r="P8" i="11" s="1"/>
  <c r="Q8" i="11" s="1"/>
  <c r="G8" i="11" s="1"/>
  <c r="M8" i="11"/>
  <c r="I8" i="11"/>
  <c r="J8" i="11" s="1"/>
  <c r="K8" i="11" s="1"/>
  <c r="L8" i="11" s="1"/>
  <c r="H8" i="11" s="1"/>
  <c r="R7" i="11"/>
  <c r="N7" i="11"/>
  <c r="O7" i="11" s="1"/>
  <c r="P7" i="11" s="1"/>
  <c r="Q7" i="11" s="1"/>
  <c r="G7" i="11" s="1"/>
  <c r="M7" i="11"/>
  <c r="I7" i="11"/>
  <c r="J7" i="11" s="1"/>
  <c r="K7" i="11" s="1"/>
  <c r="L7" i="11" s="1"/>
  <c r="R6" i="11"/>
  <c r="N6" i="11"/>
  <c r="O6" i="11" s="1"/>
  <c r="P6" i="11" s="1"/>
  <c r="Q6" i="11" s="1"/>
  <c r="M6" i="11"/>
  <c r="I6" i="11"/>
  <c r="J6" i="11" s="1"/>
  <c r="K6" i="11" s="1"/>
  <c r="L6" i="11" s="1"/>
  <c r="R5" i="11"/>
  <c r="N5" i="11"/>
  <c r="O5" i="11" s="1"/>
  <c r="P5" i="11" s="1"/>
  <c r="Q5" i="11" s="1"/>
  <c r="M5" i="11"/>
  <c r="I5" i="11"/>
  <c r="J5" i="11" s="1"/>
  <c r="K5" i="11" s="1"/>
  <c r="L5" i="11" s="1"/>
  <c r="R4" i="11"/>
  <c r="N4" i="11"/>
  <c r="O4" i="11" s="1"/>
  <c r="P4" i="11" s="1"/>
  <c r="M4" i="11"/>
  <c r="I4" i="11"/>
  <c r="F1" i="11"/>
  <c r="E1" i="11"/>
  <c r="D1" i="11"/>
  <c r="C1" i="11"/>
  <c r="B1" i="11"/>
  <c r="L3" i="13" l="1"/>
  <c r="H3" i="13" s="1"/>
  <c r="H4" i="13"/>
  <c r="L4" i="12"/>
  <c r="K3" i="12"/>
  <c r="O3" i="12"/>
  <c r="P4" i="12"/>
  <c r="G6" i="11"/>
  <c r="N3" i="11"/>
  <c r="H14" i="11"/>
  <c r="I3" i="11"/>
  <c r="G1" i="11"/>
  <c r="H15" i="11"/>
  <c r="H12" i="11"/>
  <c r="H9" i="11"/>
  <c r="H7" i="11"/>
  <c r="H6" i="11"/>
  <c r="M3" i="11"/>
  <c r="H5" i="11"/>
  <c r="G5" i="11"/>
  <c r="Q4" i="11"/>
  <c r="P3" i="11"/>
  <c r="O3" i="11"/>
  <c r="J4" i="11"/>
  <c r="G13" i="11"/>
  <c r="R3" i="11"/>
  <c r="R51" i="10"/>
  <c r="N51" i="10"/>
  <c r="O51" i="10" s="1"/>
  <c r="P51" i="10" s="1"/>
  <c r="Q51" i="10" s="1"/>
  <c r="G51" i="10" s="1"/>
  <c r="M51" i="10"/>
  <c r="I51" i="10"/>
  <c r="J51" i="10" s="1"/>
  <c r="K51" i="10" s="1"/>
  <c r="L51" i="10" s="1"/>
  <c r="H51" i="10" s="1"/>
  <c r="R50" i="10"/>
  <c r="N50" i="10"/>
  <c r="O50" i="10" s="1"/>
  <c r="P50" i="10" s="1"/>
  <c r="Q50" i="10" s="1"/>
  <c r="G50" i="10" s="1"/>
  <c r="M50" i="10"/>
  <c r="I50" i="10"/>
  <c r="J50" i="10" s="1"/>
  <c r="K50" i="10" s="1"/>
  <c r="L50" i="10" s="1"/>
  <c r="H50" i="10" s="1"/>
  <c r="R49" i="10"/>
  <c r="N49" i="10"/>
  <c r="O49" i="10" s="1"/>
  <c r="P49" i="10" s="1"/>
  <c r="Q49" i="10" s="1"/>
  <c r="G49" i="10" s="1"/>
  <c r="M49" i="10"/>
  <c r="J49" i="10"/>
  <c r="K49" i="10" s="1"/>
  <c r="L49" i="10" s="1"/>
  <c r="H49" i="10" s="1"/>
  <c r="I49" i="10"/>
  <c r="R48" i="10"/>
  <c r="N48" i="10"/>
  <c r="O48" i="10" s="1"/>
  <c r="P48" i="10" s="1"/>
  <c r="Q48" i="10" s="1"/>
  <c r="G48" i="10" s="1"/>
  <c r="M48" i="10"/>
  <c r="I48" i="10"/>
  <c r="J48" i="10" s="1"/>
  <c r="K48" i="10" s="1"/>
  <c r="L48" i="10" s="1"/>
  <c r="H48" i="10" s="1"/>
  <c r="R47" i="10"/>
  <c r="N47" i="10"/>
  <c r="O47" i="10" s="1"/>
  <c r="P47" i="10" s="1"/>
  <c r="Q47" i="10" s="1"/>
  <c r="G47" i="10" s="1"/>
  <c r="M47" i="10"/>
  <c r="I47" i="10"/>
  <c r="J47" i="10" s="1"/>
  <c r="K47" i="10" s="1"/>
  <c r="L47" i="10" s="1"/>
  <c r="H47" i="10" s="1"/>
  <c r="R46" i="10"/>
  <c r="N46" i="10"/>
  <c r="O46" i="10" s="1"/>
  <c r="P46" i="10" s="1"/>
  <c r="Q46" i="10" s="1"/>
  <c r="G46" i="10" s="1"/>
  <c r="M46" i="10"/>
  <c r="I46" i="10"/>
  <c r="J46" i="10" s="1"/>
  <c r="K46" i="10" s="1"/>
  <c r="L46" i="10" s="1"/>
  <c r="H46" i="10" s="1"/>
  <c r="R45" i="10"/>
  <c r="N45" i="10"/>
  <c r="O45" i="10" s="1"/>
  <c r="P45" i="10" s="1"/>
  <c r="Q45" i="10" s="1"/>
  <c r="G45" i="10" s="1"/>
  <c r="M45" i="10"/>
  <c r="I45" i="10"/>
  <c r="J45" i="10" s="1"/>
  <c r="K45" i="10" s="1"/>
  <c r="L45" i="10" s="1"/>
  <c r="H45" i="10"/>
  <c r="R44" i="10"/>
  <c r="N44" i="10"/>
  <c r="O44" i="10" s="1"/>
  <c r="P44" i="10" s="1"/>
  <c r="Q44" i="10" s="1"/>
  <c r="G44" i="10" s="1"/>
  <c r="M44" i="10"/>
  <c r="I44" i="10"/>
  <c r="J44" i="10" s="1"/>
  <c r="K44" i="10" s="1"/>
  <c r="L44" i="10" s="1"/>
  <c r="H44" i="10" s="1"/>
  <c r="R43" i="10"/>
  <c r="N43" i="10"/>
  <c r="O43" i="10" s="1"/>
  <c r="P43" i="10" s="1"/>
  <c r="Q43" i="10" s="1"/>
  <c r="G43" i="10" s="1"/>
  <c r="M43" i="10"/>
  <c r="I43" i="10"/>
  <c r="J43" i="10" s="1"/>
  <c r="K43" i="10" s="1"/>
  <c r="L43" i="10" s="1"/>
  <c r="H43" i="10" s="1"/>
  <c r="R42" i="10"/>
  <c r="N42" i="10"/>
  <c r="O42" i="10" s="1"/>
  <c r="P42" i="10" s="1"/>
  <c r="Q42" i="10" s="1"/>
  <c r="G42" i="10" s="1"/>
  <c r="M42" i="10"/>
  <c r="I42" i="10"/>
  <c r="J42" i="10" s="1"/>
  <c r="K42" i="10" s="1"/>
  <c r="L42" i="10" s="1"/>
  <c r="H42" i="10"/>
  <c r="R41" i="10"/>
  <c r="N41" i="10"/>
  <c r="O41" i="10" s="1"/>
  <c r="P41" i="10" s="1"/>
  <c r="Q41" i="10" s="1"/>
  <c r="G41" i="10" s="1"/>
  <c r="M41" i="10"/>
  <c r="I41" i="10"/>
  <c r="J41" i="10" s="1"/>
  <c r="K41" i="10" s="1"/>
  <c r="L41" i="10" s="1"/>
  <c r="H41" i="10" s="1"/>
  <c r="R40" i="10"/>
  <c r="N40" i="10"/>
  <c r="O40" i="10" s="1"/>
  <c r="P40" i="10" s="1"/>
  <c r="Q40" i="10" s="1"/>
  <c r="G40" i="10" s="1"/>
  <c r="M40" i="10"/>
  <c r="I40" i="10"/>
  <c r="J40" i="10" s="1"/>
  <c r="K40" i="10" s="1"/>
  <c r="L40" i="10" s="1"/>
  <c r="H40" i="10" s="1"/>
  <c r="R39" i="10"/>
  <c r="N39" i="10"/>
  <c r="O39" i="10" s="1"/>
  <c r="P39" i="10" s="1"/>
  <c r="Q39" i="10" s="1"/>
  <c r="G39" i="10" s="1"/>
  <c r="M39" i="10"/>
  <c r="I39" i="10"/>
  <c r="J39" i="10" s="1"/>
  <c r="K39" i="10" s="1"/>
  <c r="L39" i="10" s="1"/>
  <c r="H39" i="10" s="1"/>
  <c r="R38" i="10"/>
  <c r="N38" i="10"/>
  <c r="O38" i="10" s="1"/>
  <c r="P38" i="10" s="1"/>
  <c r="Q38" i="10" s="1"/>
  <c r="G38" i="10" s="1"/>
  <c r="M38" i="10"/>
  <c r="I38" i="10"/>
  <c r="J38" i="10" s="1"/>
  <c r="K38" i="10" s="1"/>
  <c r="L38" i="10" s="1"/>
  <c r="H38" i="10" s="1"/>
  <c r="R37" i="10"/>
  <c r="N37" i="10"/>
  <c r="O37" i="10" s="1"/>
  <c r="P37" i="10" s="1"/>
  <c r="Q37" i="10" s="1"/>
  <c r="G37" i="10" s="1"/>
  <c r="M37" i="10"/>
  <c r="I37" i="10"/>
  <c r="J37" i="10" s="1"/>
  <c r="K37" i="10" s="1"/>
  <c r="L37" i="10" s="1"/>
  <c r="H37" i="10" s="1"/>
  <c r="R36" i="10"/>
  <c r="N36" i="10"/>
  <c r="O36" i="10" s="1"/>
  <c r="P36" i="10" s="1"/>
  <c r="Q36" i="10" s="1"/>
  <c r="G36" i="10" s="1"/>
  <c r="M36" i="10"/>
  <c r="I36" i="10"/>
  <c r="J36" i="10" s="1"/>
  <c r="K36" i="10" s="1"/>
  <c r="L36" i="10" s="1"/>
  <c r="H36" i="10"/>
  <c r="R35" i="10"/>
  <c r="N35" i="10"/>
  <c r="O35" i="10" s="1"/>
  <c r="P35" i="10" s="1"/>
  <c r="Q35" i="10" s="1"/>
  <c r="G35" i="10" s="1"/>
  <c r="M35" i="10"/>
  <c r="I35" i="10"/>
  <c r="J35" i="10" s="1"/>
  <c r="K35" i="10" s="1"/>
  <c r="L35" i="10" s="1"/>
  <c r="H35" i="10" s="1"/>
  <c r="R34" i="10"/>
  <c r="N34" i="10"/>
  <c r="O34" i="10" s="1"/>
  <c r="P34" i="10" s="1"/>
  <c r="Q34" i="10" s="1"/>
  <c r="G34" i="10" s="1"/>
  <c r="M34" i="10"/>
  <c r="I34" i="10"/>
  <c r="J34" i="10" s="1"/>
  <c r="K34" i="10" s="1"/>
  <c r="L34" i="10" s="1"/>
  <c r="H34" i="10" s="1"/>
  <c r="R33" i="10"/>
  <c r="N33" i="10"/>
  <c r="O33" i="10" s="1"/>
  <c r="P33" i="10" s="1"/>
  <c r="Q33" i="10" s="1"/>
  <c r="G33" i="10" s="1"/>
  <c r="M33" i="10"/>
  <c r="I33" i="10"/>
  <c r="J33" i="10" s="1"/>
  <c r="K33" i="10" s="1"/>
  <c r="L33" i="10" s="1"/>
  <c r="H33" i="10"/>
  <c r="R32" i="10"/>
  <c r="N32" i="10"/>
  <c r="O32" i="10" s="1"/>
  <c r="P32" i="10" s="1"/>
  <c r="Q32" i="10" s="1"/>
  <c r="G32" i="10" s="1"/>
  <c r="M32" i="10"/>
  <c r="I32" i="10"/>
  <c r="J32" i="10" s="1"/>
  <c r="K32" i="10" s="1"/>
  <c r="L32" i="10" s="1"/>
  <c r="H32" i="10" s="1"/>
  <c r="R31" i="10"/>
  <c r="N31" i="10"/>
  <c r="O31" i="10" s="1"/>
  <c r="P31" i="10" s="1"/>
  <c r="Q31" i="10" s="1"/>
  <c r="G31" i="10" s="1"/>
  <c r="M31" i="10"/>
  <c r="I31" i="10"/>
  <c r="J31" i="10" s="1"/>
  <c r="K31" i="10" s="1"/>
  <c r="L31" i="10" s="1"/>
  <c r="H31" i="10" s="1"/>
  <c r="R30" i="10"/>
  <c r="N30" i="10"/>
  <c r="O30" i="10" s="1"/>
  <c r="P30" i="10" s="1"/>
  <c r="Q30" i="10" s="1"/>
  <c r="G30" i="10" s="1"/>
  <c r="M30" i="10"/>
  <c r="I30" i="10"/>
  <c r="J30" i="10" s="1"/>
  <c r="K30" i="10" s="1"/>
  <c r="L30" i="10" s="1"/>
  <c r="H30" i="10" s="1"/>
  <c r="R29" i="10"/>
  <c r="N29" i="10"/>
  <c r="O29" i="10" s="1"/>
  <c r="P29" i="10" s="1"/>
  <c r="Q29" i="10" s="1"/>
  <c r="G29" i="10" s="1"/>
  <c r="M29" i="10"/>
  <c r="I29" i="10"/>
  <c r="J29" i="10" s="1"/>
  <c r="K29" i="10" s="1"/>
  <c r="L29" i="10" s="1"/>
  <c r="H29" i="10" s="1"/>
  <c r="R28" i="10"/>
  <c r="N28" i="10"/>
  <c r="O28" i="10" s="1"/>
  <c r="P28" i="10" s="1"/>
  <c r="Q28" i="10" s="1"/>
  <c r="G28" i="10" s="1"/>
  <c r="M28" i="10"/>
  <c r="I28" i="10"/>
  <c r="J28" i="10" s="1"/>
  <c r="K28" i="10" s="1"/>
  <c r="L28" i="10" s="1"/>
  <c r="H28" i="10" s="1"/>
  <c r="R27" i="10"/>
  <c r="N27" i="10"/>
  <c r="O27" i="10" s="1"/>
  <c r="P27" i="10" s="1"/>
  <c r="Q27" i="10" s="1"/>
  <c r="G27" i="10" s="1"/>
  <c r="M27" i="10"/>
  <c r="I27" i="10"/>
  <c r="J27" i="10" s="1"/>
  <c r="K27" i="10" s="1"/>
  <c r="L27" i="10" s="1"/>
  <c r="H27" i="10"/>
  <c r="R26" i="10"/>
  <c r="N26" i="10"/>
  <c r="O26" i="10" s="1"/>
  <c r="P26" i="10" s="1"/>
  <c r="Q26" i="10" s="1"/>
  <c r="G26" i="10" s="1"/>
  <c r="M26" i="10"/>
  <c r="I26" i="10"/>
  <c r="J26" i="10" s="1"/>
  <c r="K26" i="10" s="1"/>
  <c r="L26" i="10" s="1"/>
  <c r="H26" i="10" s="1"/>
  <c r="R25" i="10"/>
  <c r="N25" i="10"/>
  <c r="O25" i="10" s="1"/>
  <c r="P25" i="10" s="1"/>
  <c r="Q25" i="10" s="1"/>
  <c r="G25" i="10" s="1"/>
  <c r="M25" i="10"/>
  <c r="I25" i="10"/>
  <c r="J25" i="10" s="1"/>
  <c r="K25" i="10" s="1"/>
  <c r="L25" i="10" s="1"/>
  <c r="H25" i="10" s="1"/>
  <c r="R24" i="10"/>
  <c r="N24" i="10"/>
  <c r="O24" i="10" s="1"/>
  <c r="P24" i="10" s="1"/>
  <c r="Q24" i="10" s="1"/>
  <c r="G24" i="10" s="1"/>
  <c r="M24" i="10"/>
  <c r="I24" i="10"/>
  <c r="J24" i="10" s="1"/>
  <c r="K24" i="10" s="1"/>
  <c r="L24" i="10" s="1"/>
  <c r="H24" i="10"/>
  <c r="R23" i="10"/>
  <c r="N23" i="10"/>
  <c r="O23" i="10" s="1"/>
  <c r="P23" i="10" s="1"/>
  <c r="Q23" i="10" s="1"/>
  <c r="G23" i="10" s="1"/>
  <c r="M23" i="10"/>
  <c r="I23" i="10"/>
  <c r="J23" i="10" s="1"/>
  <c r="K23" i="10" s="1"/>
  <c r="L23" i="10" s="1"/>
  <c r="H23" i="10" s="1"/>
  <c r="R22" i="10"/>
  <c r="N22" i="10"/>
  <c r="O22" i="10" s="1"/>
  <c r="P22" i="10" s="1"/>
  <c r="Q22" i="10" s="1"/>
  <c r="G22" i="10" s="1"/>
  <c r="M22" i="10"/>
  <c r="I22" i="10"/>
  <c r="J22" i="10" s="1"/>
  <c r="K22" i="10" s="1"/>
  <c r="L22" i="10" s="1"/>
  <c r="H22" i="10" s="1"/>
  <c r="R21" i="10"/>
  <c r="N21" i="10"/>
  <c r="O21" i="10" s="1"/>
  <c r="P21" i="10" s="1"/>
  <c r="Q21" i="10" s="1"/>
  <c r="G21" i="10" s="1"/>
  <c r="M21" i="10"/>
  <c r="I21" i="10"/>
  <c r="J21" i="10" s="1"/>
  <c r="K21" i="10" s="1"/>
  <c r="L21" i="10" s="1"/>
  <c r="H21" i="10" s="1"/>
  <c r="R20" i="10"/>
  <c r="N20" i="10"/>
  <c r="O20" i="10" s="1"/>
  <c r="P20" i="10" s="1"/>
  <c r="Q20" i="10" s="1"/>
  <c r="G20" i="10" s="1"/>
  <c r="M20" i="10"/>
  <c r="I20" i="10"/>
  <c r="J20" i="10" s="1"/>
  <c r="K20" i="10" s="1"/>
  <c r="L20" i="10" s="1"/>
  <c r="H20" i="10" s="1"/>
  <c r="R19" i="10"/>
  <c r="N19" i="10"/>
  <c r="O19" i="10" s="1"/>
  <c r="P19" i="10" s="1"/>
  <c r="Q19" i="10" s="1"/>
  <c r="G19" i="10" s="1"/>
  <c r="M19" i="10"/>
  <c r="I19" i="10"/>
  <c r="J19" i="10" s="1"/>
  <c r="K19" i="10" s="1"/>
  <c r="L19" i="10" s="1"/>
  <c r="H19" i="10" s="1"/>
  <c r="R18" i="10"/>
  <c r="N18" i="10"/>
  <c r="O18" i="10" s="1"/>
  <c r="P18" i="10" s="1"/>
  <c r="Q18" i="10" s="1"/>
  <c r="G18" i="10" s="1"/>
  <c r="M18" i="10"/>
  <c r="I18" i="10"/>
  <c r="J18" i="10" s="1"/>
  <c r="K18" i="10" s="1"/>
  <c r="L18" i="10" s="1"/>
  <c r="H18" i="10"/>
  <c r="R17" i="10"/>
  <c r="N17" i="10"/>
  <c r="O17" i="10" s="1"/>
  <c r="P17" i="10" s="1"/>
  <c r="Q17" i="10" s="1"/>
  <c r="G17" i="10" s="1"/>
  <c r="M17" i="10"/>
  <c r="I17" i="10"/>
  <c r="J17" i="10" s="1"/>
  <c r="K17" i="10" s="1"/>
  <c r="L17" i="10" s="1"/>
  <c r="H17" i="10" s="1"/>
  <c r="R16" i="10"/>
  <c r="N16" i="10"/>
  <c r="O16" i="10" s="1"/>
  <c r="P16" i="10" s="1"/>
  <c r="Q16" i="10" s="1"/>
  <c r="G16" i="10" s="1"/>
  <c r="M16" i="10"/>
  <c r="I16" i="10"/>
  <c r="J16" i="10" s="1"/>
  <c r="K16" i="10" s="1"/>
  <c r="L16" i="10" s="1"/>
  <c r="H16" i="10" s="1"/>
  <c r="R15" i="10"/>
  <c r="N15" i="10"/>
  <c r="O15" i="10" s="1"/>
  <c r="P15" i="10" s="1"/>
  <c r="Q15" i="10" s="1"/>
  <c r="M15" i="10"/>
  <c r="I15" i="10"/>
  <c r="J15" i="10" s="1"/>
  <c r="K15" i="10" s="1"/>
  <c r="L15" i="10" s="1"/>
  <c r="H15" i="10" s="1"/>
  <c r="R14" i="10"/>
  <c r="N14" i="10"/>
  <c r="O14" i="10" s="1"/>
  <c r="P14" i="10" s="1"/>
  <c r="Q14" i="10" s="1"/>
  <c r="G14" i="10" s="1"/>
  <c r="M14" i="10"/>
  <c r="I14" i="10"/>
  <c r="J14" i="10" s="1"/>
  <c r="K14" i="10" s="1"/>
  <c r="L14" i="10" s="1"/>
  <c r="R13" i="10"/>
  <c r="N13" i="10"/>
  <c r="O13" i="10" s="1"/>
  <c r="P13" i="10" s="1"/>
  <c r="Q13" i="10" s="1"/>
  <c r="G13" i="10" s="1"/>
  <c r="M13" i="10"/>
  <c r="I13" i="10"/>
  <c r="J13" i="10" s="1"/>
  <c r="K13" i="10" s="1"/>
  <c r="L13" i="10" s="1"/>
  <c r="H13" i="10" s="1"/>
  <c r="R12" i="10"/>
  <c r="N12" i="10"/>
  <c r="O12" i="10" s="1"/>
  <c r="P12" i="10" s="1"/>
  <c r="Q12" i="10" s="1"/>
  <c r="M12" i="10"/>
  <c r="I12" i="10"/>
  <c r="J12" i="10" s="1"/>
  <c r="K12" i="10" s="1"/>
  <c r="L12" i="10" s="1"/>
  <c r="H12" i="10" s="1"/>
  <c r="R11" i="10"/>
  <c r="N11" i="10"/>
  <c r="O11" i="10" s="1"/>
  <c r="P11" i="10" s="1"/>
  <c r="Q11" i="10" s="1"/>
  <c r="G11" i="10" s="1"/>
  <c r="M11" i="10"/>
  <c r="I11" i="10"/>
  <c r="J11" i="10" s="1"/>
  <c r="K11" i="10" s="1"/>
  <c r="L11" i="10" s="1"/>
  <c r="R10" i="10"/>
  <c r="N10" i="10"/>
  <c r="O10" i="10" s="1"/>
  <c r="P10" i="10" s="1"/>
  <c r="Q10" i="10" s="1"/>
  <c r="G10" i="10" s="1"/>
  <c r="M10" i="10"/>
  <c r="J10" i="10"/>
  <c r="K10" i="10" s="1"/>
  <c r="L10" i="10" s="1"/>
  <c r="H10" i="10" s="1"/>
  <c r="I10" i="10"/>
  <c r="R9" i="10"/>
  <c r="N9" i="10"/>
  <c r="O9" i="10" s="1"/>
  <c r="P9" i="10" s="1"/>
  <c r="Q9" i="10" s="1"/>
  <c r="M9" i="10"/>
  <c r="I9" i="10"/>
  <c r="J9" i="10" s="1"/>
  <c r="K9" i="10" s="1"/>
  <c r="L9" i="10" s="1"/>
  <c r="R8" i="10"/>
  <c r="N8" i="10"/>
  <c r="O8" i="10" s="1"/>
  <c r="M8" i="10"/>
  <c r="I8" i="10"/>
  <c r="J8" i="10" s="1"/>
  <c r="K8" i="10" s="1"/>
  <c r="L8" i="10" s="1"/>
  <c r="H8" i="10" s="1"/>
  <c r="R7" i="10"/>
  <c r="N7" i="10"/>
  <c r="O7" i="10" s="1"/>
  <c r="P7" i="10" s="1"/>
  <c r="Q7" i="10" s="1"/>
  <c r="G7" i="10" s="1"/>
  <c r="M7" i="10"/>
  <c r="I7" i="10"/>
  <c r="J7" i="10" s="1"/>
  <c r="K7" i="10" s="1"/>
  <c r="L7" i="10" s="1"/>
  <c r="H7" i="10" s="1"/>
  <c r="R6" i="10"/>
  <c r="N6" i="10"/>
  <c r="O6" i="10" s="1"/>
  <c r="P6" i="10" s="1"/>
  <c r="Q6" i="10" s="1"/>
  <c r="G6" i="10" s="1"/>
  <c r="M6" i="10"/>
  <c r="I6" i="10"/>
  <c r="J6" i="10" s="1"/>
  <c r="K6" i="10" s="1"/>
  <c r="L6" i="10" s="1"/>
  <c r="H6" i="10" s="1"/>
  <c r="R5" i="10"/>
  <c r="N5" i="10"/>
  <c r="O5" i="10" s="1"/>
  <c r="P5" i="10" s="1"/>
  <c r="Q5" i="10" s="1"/>
  <c r="G5" i="10" s="1"/>
  <c r="M5" i="10"/>
  <c r="I5" i="10"/>
  <c r="J5" i="10" s="1"/>
  <c r="K5" i="10" s="1"/>
  <c r="L5" i="10" s="1"/>
  <c r="R4" i="10"/>
  <c r="N4" i="10"/>
  <c r="O4" i="10" s="1"/>
  <c r="P4" i="10" s="1"/>
  <c r="M4" i="10"/>
  <c r="I4" i="10"/>
  <c r="J4" i="10" s="1"/>
  <c r="F1" i="10"/>
  <c r="E1" i="10"/>
  <c r="D1" i="10"/>
  <c r="C1" i="10"/>
  <c r="B1" i="10"/>
  <c r="P3" i="12" l="1"/>
  <c r="Q4" i="12"/>
  <c r="L3" i="12"/>
  <c r="H3" i="12" s="1"/>
  <c r="H4" i="12"/>
  <c r="K4" i="11"/>
  <c r="J3" i="11"/>
  <c r="G4" i="11"/>
  <c r="Q3" i="11"/>
  <c r="G3" i="11" s="1"/>
  <c r="H14" i="10"/>
  <c r="G15" i="10"/>
  <c r="G12" i="10"/>
  <c r="H11" i="10"/>
  <c r="H9" i="10"/>
  <c r="G9" i="10"/>
  <c r="H5" i="10"/>
  <c r="M3" i="10"/>
  <c r="G1" i="10"/>
  <c r="K4" i="10"/>
  <c r="J3" i="10"/>
  <c r="Q4" i="10"/>
  <c r="P8" i="10"/>
  <c r="Q8" i="10" s="1"/>
  <c r="G8" i="10" s="1"/>
  <c r="O3" i="10"/>
  <c r="I3" i="10"/>
  <c r="R3" i="10"/>
  <c r="N3" i="10"/>
  <c r="R51" i="9"/>
  <c r="N51" i="9"/>
  <c r="O51" i="9" s="1"/>
  <c r="P51" i="9" s="1"/>
  <c r="Q51" i="9" s="1"/>
  <c r="G51" i="9" s="1"/>
  <c r="M51" i="9"/>
  <c r="I51" i="9"/>
  <c r="J51" i="9" s="1"/>
  <c r="K51" i="9" s="1"/>
  <c r="L51" i="9" s="1"/>
  <c r="H51" i="9" s="1"/>
  <c r="R50" i="9"/>
  <c r="N50" i="9"/>
  <c r="O50" i="9" s="1"/>
  <c r="P50" i="9" s="1"/>
  <c r="Q50" i="9" s="1"/>
  <c r="G50" i="9" s="1"/>
  <c r="M50" i="9"/>
  <c r="I50" i="9"/>
  <c r="J50" i="9" s="1"/>
  <c r="K50" i="9" s="1"/>
  <c r="L50" i="9" s="1"/>
  <c r="H50" i="9" s="1"/>
  <c r="R49" i="9"/>
  <c r="N49" i="9"/>
  <c r="O49" i="9" s="1"/>
  <c r="P49" i="9" s="1"/>
  <c r="Q49" i="9" s="1"/>
  <c r="G49" i="9" s="1"/>
  <c r="M49" i="9"/>
  <c r="J49" i="9"/>
  <c r="K49" i="9" s="1"/>
  <c r="L49" i="9" s="1"/>
  <c r="H49" i="9" s="1"/>
  <c r="I49" i="9"/>
  <c r="R48" i="9"/>
  <c r="N48" i="9"/>
  <c r="O48" i="9" s="1"/>
  <c r="P48" i="9" s="1"/>
  <c r="Q48" i="9" s="1"/>
  <c r="G48" i="9" s="1"/>
  <c r="M48" i="9"/>
  <c r="I48" i="9"/>
  <c r="J48" i="9" s="1"/>
  <c r="K48" i="9" s="1"/>
  <c r="L48" i="9" s="1"/>
  <c r="H48" i="9" s="1"/>
  <c r="R47" i="9"/>
  <c r="N47" i="9"/>
  <c r="O47" i="9" s="1"/>
  <c r="P47" i="9" s="1"/>
  <c r="Q47" i="9" s="1"/>
  <c r="G47" i="9" s="1"/>
  <c r="M47" i="9"/>
  <c r="I47" i="9"/>
  <c r="J47" i="9" s="1"/>
  <c r="K47" i="9" s="1"/>
  <c r="L47" i="9" s="1"/>
  <c r="H47" i="9" s="1"/>
  <c r="R46" i="9"/>
  <c r="N46" i="9"/>
  <c r="O46" i="9" s="1"/>
  <c r="P46" i="9" s="1"/>
  <c r="Q46" i="9" s="1"/>
  <c r="G46" i="9" s="1"/>
  <c r="M46" i="9"/>
  <c r="J46" i="9"/>
  <c r="K46" i="9" s="1"/>
  <c r="L46" i="9" s="1"/>
  <c r="H46" i="9" s="1"/>
  <c r="I46" i="9"/>
  <c r="R45" i="9"/>
  <c r="N45" i="9"/>
  <c r="O45" i="9" s="1"/>
  <c r="P45" i="9" s="1"/>
  <c r="Q45" i="9" s="1"/>
  <c r="G45" i="9" s="1"/>
  <c r="M45" i="9"/>
  <c r="I45" i="9"/>
  <c r="J45" i="9" s="1"/>
  <c r="K45" i="9" s="1"/>
  <c r="L45" i="9" s="1"/>
  <c r="H45" i="9"/>
  <c r="R44" i="9"/>
  <c r="N44" i="9"/>
  <c r="O44" i="9" s="1"/>
  <c r="P44" i="9" s="1"/>
  <c r="Q44" i="9" s="1"/>
  <c r="G44" i="9" s="1"/>
  <c r="M44" i="9"/>
  <c r="K44" i="9"/>
  <c r="L44" i="9" s="1"/>
  <c r="H44" i="9" s="1"/>
  <c r="I44" i="9"/>
  <c r="J44" i="9" s="1"/>
  <c r="R43" i="9"/>
  <c r="N43" i="9"/>
  <c r="O43" i="9" s="1"/>
  <c r="P43" i="9" s="1"/>
  <c r="Q43" i="9" s="1"/>
  <c r="G43" i="9" s="1"/>
  <c r="M43" i="9"/>
  <c r="I43" i="9"/>
  <c r="J43" i="9" s="1"/>
  <c r="K43" i="9" s="1"/>
  <c r="L43" i="9" s="1"/>
  <c r="H43" i="9" s="1"/>
  <c r="R42" i="9"/>
  <c r="O42" i="9"/>
  <c r="P42" i="9" s="1"/>
  <c r="Q42" i="9" s="1"/>
  <c r="G42" i="9" s="1"/>
  <c r="N42" i="9"/>
  <c r="M42" i="9"/>
  <c r="I42" i="9"/>
  <c r="J42" i="9" s="1"/>
  <c r="K42" i="9" s="1"/>
  <c r="L42" i="9" s="1"/>
  <c r="H42" i="9"/>
  <c r="R41" i="9"/>
  <c r="N41" i="9"/>
  <c r="O41" i="9" s="1"/>
  <c r="P41" i="9" s="1"/>
  <c r="Q41" i="9" s="1"/>
  <c r="G41" i="9" s="1"/>
  <c r="M41" i="9"/>
  <c r="I41" i="9"/>
  <c r="J41" i="9" s="1"/>
  <c r="K41" i="9" s="1"/>
  <c r="L41" i="9" s="1"/>
  <c r="H41" i="9" s="1"/>
  <c r="R40" i="9"/>
  <c r="P40" i="9"/>
  <c r="Q40" i="9" s="1"/>
  <c r="G40" i="9" s="1"/>
  <c r="N40" i="9"/>
  <c r="O40" i="9" s="1"/>
  <c r="M40" i="9"/>
  <c r="I40" i="9"/>
  <c r="J40" i="9" s="1"/>
  <c r="K40" i="9" s="1"/>
  <c r="L40" i="9" s="1"/>
  <c r="H40" i="9" s="1"/>
  <c r="R39" i="9"/>
  <c r="N39" i="9"/>
  <c r="O39" i="9" s="1"/>
  <c r="P39" i="9" s="1"/>
  <c r="Q39" i="9" s="1"/>
  <c r="G39" i="9" s="1"/>
  <c r="M39" i="9"/>
  <c r="I39" i="9"/>
  <c r="J39" i="9" s="1"/>
  <c r="K39" i="9" s="1"/>
  <c r="L39" i="9" s="1"/>
  <c r="H39" i="9"/>
  <c r="R38" i="9"/>
  <c r="N38" i="9"/>
  <c r="O38" i="9" s="1"/>
  <c r="P38" i="9" s="1"/>
  <c r="Q38" i="9" s="1"/>
  <c r="G38" i="9" s="1"/>
  <c r="M38" i="9"/>
  <c r="I38" i="9"/>
  <c r="J38" i="9" s="1"/>
  <c r="K38" i="9" s="1"/>
  <c r="L38" i="9" s="1"/>
  <c r="H38" i="9" s="1"/>
  <c r="R37" i="9"/>
  <c r="N37" i="9"/>
  <c r="O37" i="9" s="1"/>
  <c r="P37" i="9" s="1"/>
  <c r="Q37" i="9" s="1"/>
  <c r="G37" i="9" s="1"/>
  <c r="M37" i="9"/>
  <c r="J37" i="9"/>
  <c r="K37" i="9" s="1"/>
  <c r="L37" i="9" s="1"/>
  <c r="H37" i="9" s="1"/>
  <c r="I37" i="9"/>
  <c r="R36" i="9"/>
  <c r="N36" i="9"/>
  <c r="O36" i="9" s="1"/>
  <c r="P36" i="9" s="1"/>
  <c r="Q36" i="9" s="1"/>
  <c r="G36" i="9" s="1"/>
  <c r="M36" i="9"/>
  <c r="I36" i="9"/>
  <c r="J36" i="9" s="1"/>
  <c r="K36" i="9" s="1"/>
  <c r="L36" i="9" s="1"/>
  <c r="H36" i="9"/>
  <c r="R35" i="9"/>
  <c r="N35" i="9"/>
  <c r="O35" i="9" s="1"/>
  <c r="P35" i="9" s="1"/>
  <c r="Q35" i="9" s="1"/>
  <c r="G35" i="9" s="1"/>
  <c r="M35" i="9"/>
  <c r="K35" i="9"/>
  <c r="L35" i="9" s="1"/>
  <c r="H35" i="9" s="1"/>
  <c r="I35" i="9"/>
  <c r="J35" i="9" s="1"/>
  <c r="R34" i="9"/>
  <c r="N34" i="9"/>
  <c r="O34" i="9" s="1"/>
  <c r="P34" i="9" s="1"/>
  <c r="Q34" i="9" s="1"/>
  <c r="G34" i="9" s="1"/>
  <c r="M34" i="9"/>
  <c r="I34" i="9"/>
  <c r="J34" i="9" s="1"/>
  <c r="K34" i="9" s="1"/>
  <c r="L34" i="9" s="1"/>
  <c r="H34" i="9" s="1"/>
  <c r="R33" i="9"/>
  <c r="O33" i="9"/>
  <c r="P33" i="9" s="1"/>
  <c r="Q33" i="9" s="1"/>
  <c r="G33" i="9" s="1"/>
  <c r="N33" i="9"/>
  <c r="M33" i="9"/>
  <c r="I33" i="9"/>
  <c r="J33" i="9" s="1"/>
  <c r="K33" i="9" s="1"/>
  <c r="L33" i="9" s="1"/>
  <c r="H33" i="9"/>
  <c r="R32" i="9"/>
  <c r="N32" i="9"/>
  <c r="O32" i="9" s="1"/>
  <c r="P32" i="9" s="1"/>
  <c r="Q32" i="9" s="1"/>
  <c r="G32" i="9" s="1"/>
  <c r="M32" i="9"/>
  <c r="I32" i="9"/>
  <c r="J32" i="9" s="1"/>
  <c r="K32" i="9" s="1"/>
  <c r="L32" i="9" s="1"/>
  <c r="H32" i="9" s="1"/>
  <c r="R31" i="9"/>
  <c r="P31" i="9"/>
  <c r="Q31" i="9" s="1"/>
  <c r="G31" i="9" s="1"/>
  <c r="N31" i="9"/>
  <c r="O31" i="9" s="1"/>
  <c r="M31" i="9"/>
  <c r="I31" i="9"/>
  <c r="J31" i="9" s="1"/>
  <c r="K31" i="9" s="1"/>
  <c r="L31" i="9" s="1"/>
  <c r="H31" i="9" s="1"/>
  <c r="R30" i="9"/>
  <c r="N30" i="9"/>
  <c r="O30" i="9" s="1"/>
  <c r="P30" i="9" s="1"/>
  <c r="Q30" i="9" s="1"/>
  <c r="G30" i="9" s="1"/>
  <c r="M30" i="9"/>
  <c r="I30" i="9"/>
  <c r="J30" i="9" s="1"/>
  <c r="K30" i="9" s="1"/>
  <c r="L30" i="9" s="1"/>
  <c r="H30" i="9"/>
  <c r="R29" i="9"/>
  <c r="N29" i="9"/>
  <c r="O29" i="9" s="1"/>
  <c r="P29" i="9" s="1"/>
  <c r="Q29" i="9" s="1"/>
  <c r="G29" i="9" s="1"/>
  <c r="M29" i="9"/>
  <c r="I29" i="9"/>
  <c r="J29" i="9" s="1"/>
  <c r="K29" i="9" s="1"/>
  <c r="L29" i="9" s="1"/>
  <c r="H29" i="9" s="1"/>
  <c r="R28" i="9"/>
  <c r="N28" i="9"/>
  <c r="O28" i="9" s="1"/>
  <c r="P28" i="9" s="1"/>
  <c r="Q28" i="9" s="1"/>
  <c r="G28" i="9" s="1"/>
  <c r="M28" i="9"/>
  <c r="J28" i="9"/>
  <c r="K28" i="9" s="1"/>
  <c r="L28" i="9" s="1"/>
  <c r="H28" i="9" s="1"/>
  <c r="I28" i="9"/>
  <c r="R27" i="9"/>
  <c r="N27" i="9"/>
  <c r="O27" i="9" s="1"/>
  <c r="P27" i="9" s="1"/>
  <c r="Q27" i="9" s="1"/>
  <c r="G27" i="9" s="1"/>
  <c r="M27" i="9"/>
  <c r="I27" i="9"/>
  <c r="J27" i="9" s="1"/>
  <c r="K27" i="9" s="1"/>
  <c r="L27" i="9" s="1"/>
  <c r="H27" i="9"/>
  <c r="R26" i="9"/>
  <c r="N26" i="9"/>
  <c r="O26" i="9" s="1"/>
  <c r="P26" i="9" s="1"/>
  <c r="Q26" i="9" s="1"/>
  <c r="G26" i="9" s="1"/>
  <c r="M26" i="9"/>
  <c r="K26" i="9"/>
  <c r="L26" i="9" s="1"/>
  <c r="H26" i="9" s="1"/>
  <c r="I26" i="9"/>
  <c r="J26" i="9" s="1"/>
  <c r="R25" i="9"/>
  <c r="N25" i="9"/>
  <c r="O25" i="9" s="1"/>
  <c r="P25" i="9" s="1"/>
  <c r="Q25" i="9" s="1"/>
  <c r="G25" i="9" s="1"/>
  <c r="M25" i="9"/>
  <c r="I25" i="9"/>
  <c r="J25" i="9" s="1"/>
  <c r="K25" i="9" s="1"/>
  <c r="L25" i="9" s="1"/>
  <c r="H25" i="9" s="1"/>
  <c r="R24" i="9"/>
  <c r="O24" i="9"/>
  <c r="P24" i="9" s="1"/>
  <c r="Q24" i="9" s="1"/>
  <c r="G24" i="9" s="1"/>
  <c r="N24" i="9"/>
  <c r="M24" i="9"/>
  <c r="I24" i="9"/>
  <c r="J24" i="9" s="1"/>
  <c r="K24" i="9" s="1"/>
  <c r="L24" i="9" s="1"/>
  <c r="H24" i="9"/>
  <c r="R23" i="9"/>
  <c r="N23" i="9"/>
  <c r="O23" i="9" s="1"/>
  <c r="P23" i="9" s="1"/>
  <c r="Q23" i="9" s="1"/>
  <c r="G23" i="9" s="1"/>
  <c r="M23" i="9"/>
  <c r="I23" i="9"/>
  <c r="J23" i="9" s="1"/>
  <c r="K23" i="9" s="1"/>
  <c r="L23" i="9" s="1"/>
  <c r="H23" i="9" s="1"/>
  <c r="R22" i="9"/>
  <c r="P22" i="9"/>
  <c r="Q22" i="9" s="1"/>
  <c r="G22" i="9" s="1"/>
  <c r="N22" i="9"/>
  <c r="O22" i="9" s="1"/>
  <c r="M22" i="9"/>
  <c r="I22" i="9"/>
  <c r="J22" i="9" s="1"/>
  <c r="K22" i="9" s="1"/>
  <c r="L22" i="9" s="1"/>
  <c r="H22" i="9" s="1"/>
  <c r="R21" i="9"/>
  <c r="N21" i="9"/>
  <c r="O21" i="9" s="1"/>
  <c r="P21" i="9" s="1"/>
  <c r="Q21" i="9" s="1"/>
  <c r="G21" i="9" s="1"/>
  <c r="M21" i="9"/>
  <c r="I21" i="9"/>
  <c r="J21" i="9" s="1"/>
  <c r="K21" i="9" s="1"/>
  <c r="L21" i="9" s="1"/>
  <c r="H21" i="9"/>
  <c r="R20" i="9"/>
  <c r="N20" i="9"/>
  <c r="O20" i="9" s="1"/>
  <c r="P20" i="9" s="1"/>
  <c r="Q20" i="9" s="1"/>
  <c r="G20" i="9" s="1"/>
  <c r="M20" i="9"/>
  <c r="I20" i="9"/>
  <c r="J20" i="9" s="1"/>
  <c r="K20" i="9" s="1"/>
  <c r="L20" i="9" s="1"/>
  <c r="H20" i="9" s="1"/>
  <c r="R19" i="9"/>
  <c r="N19" i="9"/>
  <c r="O19" i="9" s="1"/>
  <c r="P19" i="9" s="1"/>
  <c r="Q19" i="9" s="1"/>
  <c r="M19" i="9"/>
  <c r="J19" i="9"/>
  <c r="K19" i="9" s="1"/>
  <c r="L19" i="9" s="1"/>
  <c r="H19" i="9" s="1"/>
  <c r="I19" i="9"/>
  <c r="R18" i="9"/>
  <c r="N18" i="9"/>
  <c r="O18" i="9" s="1"/>
  <c r="P18" i="9" s="1"/>
  <c r="Q18" i="9" s="1"/>
  <c r="G18" i="9" s="1"/>
  <c r="M18" i="9"/>
  <c r="I18" i="9"/>
  <c r="J18" i="9" s="1"/>
  <c r="K18" i="9" s="1"/>
  <c r="L18" i="9" s="1"/>
  <c r="H18" i="9"/>
  <c r="R17" i="9"/>
  <c r="N17" i="9"/>
  <c r="O17" i="9" s="1"/>
  <c r="P17" i="9" s="1"/>
  <c r="Q17" i="9" s="1"/>
  <c r="G17" i="9" s="1"/>
  <c r="M17" i="9"/>
  <c r="K17" i="9"/>
  <c r="L17" i="9" s="1"/>
  <c r="H17" i="9" s="1"/>
  <c r="I17" i="9"/>
  <c r="J17" i="9" s="1"/>
  <c r="R16" i="9"/>
  <c r="N16" i="9"/>
  <c r="O16" i="9" s="1"/>
  <c r="P16" i="9" s="1"/>
  <c r="Q16" i="9" s="1"/>
  <c r="G16" i="9" s="1"/>
  <c r="M16" i="9"/>
  <c r="I16" i="9"/>
  <c r="J16" i="9" s="1"/>
  <c r="K16" i="9" s="1"/>
  <c r="L16" i="9" s="1"/>
  <c r="H16" i="9" s="1"/>
  <c r="R15" i="9"/>
  <c r="N15" i="9"/>
  <c r="O15" i="9" s="1"/>
  <c r="P15" i="9" s="1"/>
  <c r="Q15" i="9" s="1"/>
  <c r="M15" i="9"/>
  <c r="I15" i="9"/>
  <c r="J15" i="9" s="1"/>
  <c r="K15" i="9" s="1"/>
  <c r="L15" i="9" s="1"/>
  <c r="H15" i="9" s="1"/>
  <c r="R14" i="9"/>
  <c r="N14" i="9"/>
  <c r="O14" i="9" s="1"/>
  <c r="P14" i="9" s="1"/>
  <c r="Q14" i="9" s="1"/>
  <c r="G14" i="9" s="1"/>
  <c r="M14" i="9"/>
  <c r="I14" i="9"/>
  <c r="J14" i="9" s="1"/>
  <c r="K14" i="9" s="1"/>
  <c r="L14" i="9" s="1"/>
  <c r="H14" i="9" s="1"/>
  <c r="R13" i="9"/>
  <c r="N13" i="9"/>
  <c r="O13" i="9" s="1"/>
  <c r="P13" i="9" s="1"/>
  <c r="Q13" i="9" s="1"/>
  <c r="G13" i="9" s="1"/>
  <c r="M13" i="9"/>
  <c r="I13" i="9"/>
  <c r="J13" i="9" s="1"/>
  <c r="K13" i="9" s="1"/>
  <c r="L13" i="9" s="1"/>
  <c r="H13" i="9" s="1"/>
  <c r="R12" i="9"/>
  <c r="N12" i="9"/>
  <c r="O12" i="9" s="1"/>
  <c r="P12" i="9" s="1"/>
  <c r="Q12" i="9" s="1"/>
  <c r="M12" i="9"/>
  <c r="I12" i="9"/>
  <c r="J12" i="9" s="1"/>
  <c r="K12" i="9" s="1"/>
  <c r="L12" i="9" s="1"/>
  <c r="H12" i="9" s="1"/>
  <c r="R11" i="9"/>
  <c r="N11" i="9"/>
  <c r="O11" i="9" s="1"/>
  <c r="P11" i="9" s="1"/>
  <c r="Q11" i="9" s="1"/>
  <c r="M11" i="9"/>
  <c r="I11" i="9"/>
  <c r="J11" i="9" s="1"/>
  <c r="K11" i="9" s="1"/>
  <c r="L11" i="9" s="1"/>
  <c r="H11" i="9" s="1"/>
  <c r="R10" i="9"/>
  <c r="N10" i="9"/>
  <c r="O10" i="9" s="1"/>
  <c r="P10" i="9" s="1"/>
  <c r="Q10" i="9" s="1"/>
  <c r="M10" i="9"/>
  <c r="I10" i="9"/>
  <c r="J10" i="9" s="1"/>
  <c r="K10" i="9" s="1"/>
  <c r="L10" i="9" s="1"/>
  <c r="R9" i="9"/>
  <c r="N9" i="9"/>
  <c r="O9" i="9" s="1"/>
  <c r="P9" i="9" s="1"/>
  <c r="Q9" i="9" s="1"/>
  <c r="M9" i="9"/>
  <c r="I9" i="9"/>
  <c r="J9" i="9" s="1"/>
  <c r="K9" i="9" s="1"/>
  <c r="L9" i="9" s="1"/>
  <c r="R8" i="9"/>
  <c r="N8" i="9"/>
  <c r="O8" i="9" s="1"/>
  <c r="P8" i="9" s="1"/>
  <c r="Q8" i="9" s="1"/>
  <c r="M8" i="9"/>
  <c r="I8" i="9"/>
  <c r="J8" i="9" s="1"/>
  <c r="K8" i="9" s="1"/>
  <c r="L8" i="9" s="1"/>
  <c r="H8" i="9" s="1"/>
  <c r="R7" i="9"/>
  <c r="N7" i="9"/>
  <c r="O7" i="9" s="1"/>
  <c r="P7" i="9" s="1"/>
  <c r="Q7" i="9" s="1"/>
  <c r="G7" i="9" s="1"/>
  <c r="M7" i="9"/>
  <c r="I7" i="9"/>
  <c r="J7" i="9" s="1"/>
  <c r="K7" i="9" s="1"/>
  <c r="L7" i="9" s="1"/>
  <c r="H7" i="9" s="1"/>
  <c r="R6" i="9"/>
  <c r="N6" i="9"/>
  <c r="O6" i="9" s="1"/>
  <c r="P6" i="9" s="1"/>
  <c r="Q6" i="9" s="1"/>
  <c r="G6" i="9" s="1"/>
  <c r="M6" i="9"/>
  <c r="I6" i="9"/>
  <c r="J6" i="9" s="1"/>
  <c r="K6" i="9" s="1"/>
  <c r="L6" i="9" s="1"/>
  <c r="H6" i="9" s="1"/>
  <c r="R5" i="9"/>
  <c r="N5" i="9"/>
  <c r="O5" i="9" s="1"/>
  <c r="P5" i="9" s="1"/>
  <c r="Q5" i="9" s="1"/>
  <c r="G5" i="9" s="1"/>
  <c r="M5" i="9"/>
  <c r="I5" i="9"/>
  <c r="J5" i="9" s="1"/>
  <c r="K5" i="9" s="1"/>
  <c r="L5" i="9" s="1"/>
  <c r="H5" i="9" s="1"/>
  <c r="R4" i="9"/>
  <c r="N4" i="9"/>
  <c r="O4" i="9" s="1"/>
  <c r="M4" i="9"/>
  <c r="I4" i="9"/>
  <c r="J4" i="9" s="1"/>
  <c r="K4" i="9" s="1"/>
  <c r="F1" i="9"/>
  <c r="E1" i="9"/>
  <c r="D1" i="9"/>
  <c r="C1" i="9"/>
  <c r="B1" i="9"/>
  <c r="G4" i="12" l="1"/>
  <c r="Q3" i="12"/>
  <c r="G3" i="12" s="1"/>
  <c r="K3" i="11"/>
  <c r="L4" i="11"/>
  <c r="G4" i="10"/>
  <c r="Q3" i="10"/>
  <c r="G3" i="10" s="1"/>
  <c r="P3" i="10"/>
  <c r="L4" i="10"/>
  <c r="K3" i="10"/>
  <c r="G12" i="9"/>
  <c r="G8" i="9"/>
  <c r="G19" i="9"/>
  <c r="G15" i="9"/>
  <c r="G11" i="9"/>
  <c r="H10" i="9"/>
  <c r="G10" i="9"/>
  <c r="H9" i="9"/>
  <c r="G9" i="9"/>
  <c r="R3" i="9"/>
  <c r="M3" i="9"/>
  <c r="G1" i="9"/>
  <c r="I3" i="9"/>
  <c r="L4" i="9"/>
  <c r="K3" i="9"/>
  <c r="O3" i="9"/>
  <c r="J3" i="9"/>
  <c r="P4" i="9"/>
  <c r="N3" i="9"/>
  <c r="R51" i="8"/>
  <c r="N51" i="8"/>
  <c r="O51" i="8" s="1"/>
  <c r="P51" i="8" s="1"/>
  <c r="Q51" i="8" s="1"/>
  <c r="G51" i="8" s="1"/>
  <c r="M51" i="8"/>
  <c r="J51" i="8"/>
  <c r="K51" i="8" s="1"/>
  <c r="L51" i="8" s="1"/>
  <c r="H51" i="8" s="1"/>
  <c r="I51" i="8"/>
  <c r="R50" i="8"/>
  <c r="N50" i="8"/>
  <c r="O50" i="8" s="1"/>
  <c r="P50" i="8" s="1"/>
  <c r="Q50" i="8" s="1"/>
  <c r="G50" i="8" s="1"/>
  <c r="M50" i="8"/>
  <c r="J50" i="8"/>
  <c r="K50" i="8" s="1"/>
  <c r="L50" i="8" s="1"/>
  <c r="H50" i="8" s="1"/>
  <c r="I50" i="8"/>
  <c r="R49" i="8"/>
  <c r="N49" i="8"/>
  <c r="O49" i="8" s="1"/>
  <c r="P49" i="8" s="1"/>
  <c r="Q49" i="8" s="1"/>
  <c r="G49" i="8" s="1"/>
  <c r="M49" i="8"/>
  <c r="J49" i="8"/>
  <c r="K49" i="8" s="1"/>
  <c r="L49" i="8" s="1"/>
  <c r="H49" i="8" s="1"/>
  <c r="I49" i="8"/>
  <c r="R48" i="8"/>
  <c r="N48" i="8"/>
  <c r="O48" i="8" s="1"/>
  <c r="P48" i="8" s="1"/>
  <c r="Q48" i="8" s="1"/>
  <c r="G48" i="8" s="1"/>
  <c r="M48" i="8"/>
  <c r="J48" i="8"/>
  <c r="K48" i="8" s="1"/>
  <c r="L48" i="8" s="1"/>
  <c r="H48" i="8" s="1"/>
  <c r="I48" i="8"/>
  <c r="R47" i="8"/>
  <c r="N47" i="8"/>
  <c r="O47" i="8" s="1"/>
  <c r="P47" i="8" s="1"/>
  <c r="Q47" i="8" s="1"/>
  <c r="G47" i="8" s="1"/>
  <c r="M47" i="8"/>
  <c r="J47" i="8"/>
  <c r="K47" i="8" s="1"/>
  <c r="L47" i="8" s="1"/>
  <c r="H47" i="8" s="1"/>
  <c r="I47" i="8"/>
  <c r="R46" i="8"/>
  <c r="N46" i="8"/>
  <c r="O46" i="8" s="1"/>
  <c r="P46" i="8" s="1"/>
  <c r="Q46" i="8" s="1"/>
  <c r="G46" i="8" s="1"/>
  <c r="M46" i="8"/>
  <c r="J46" i="8"/>
  <c r="K46" i="8" s="1"/>
  <c r="L46" i="8" s="1"/>
  <c r="H46" i="8" s="1"/>
  <c r="I46" i="8"/>
  <c r="R45" i="8"/>
  <c r="N45" i="8"/>
  <c r="O45" i="8" s="1"/>
  <c r="P45" i="8" s="1"/>
  <c r="Q45" i="8" s="1"/>
  <c r="G45" i="8" s="1"/>
  <c r="M45" i="8"/>
  <c r="J45" i="8"/>
  <c r="K45" i="8" s="1"/>
  <c r="L45" i="8" s="1"/>
  <c r="H45" i="8" s="1"/>
  <c r="I45" i="8"/>
  <c r="R44" i="8"/>
  <c r="N44" i="8"/>
  <c r="O44" i="8" s="1"/>
  <c r="P44" i="8" s="1"/>
  <c r="Q44" i="8" s="1"/>
  <c r="G44" i="8" s="1"/>
  <c r="M44" i="8"/>
  <c r="J44" i="8"/>
  <c r="K44" i="8" s="1"/>
  <c r="L44" i="8" s="1"/>
  <c r="H44" i="8" s="1"/>
  <c r="I44" i="8"/>
  <c r="R43" i="8"/>
  <c r="N43" i="8"/>
  <c r="O43" i="8" s="1"/>
  <c r="P43" i="8" s="1"/>
  <c r="Q43" i="8" s="1"/>
  <c r="G43" i="8" s="1"/>
  <c r="M43" i="8"/>
  <c r="J43" i="8"/>
  <c r="K43" i="8" s="1"/>
  <c r="L43" i="8" s="1"/>
  <c r="H43" i="8" s="1"/>
  <c r="I43" i="8"/>
  <c r="R42" i="8"/>
  <c r="N42" i="8"/>
  <c r="O42" i="8" s="1"/>
  <c r="P42" i="8" s="1"/>
  <c r="Q42" i="8" s="1"/>
  <c r="G42" i="8" s="1"/>
  <c r="M42" i="8"/>
  <c r="J42" i="8"/>
  <c r="K42" i="8" s="1"/>
  <c r="L42" i="8" s="1"/>
  <c r="H42" i="8" s="1"/>
  <c r="I42" i="8"/>
  <c r="R41" i="8"/>
  <c r="N41" i="8"/>
  <c r="O41" i="8" s="1"/>
  <c r="P41" i="8" s="1"/>
  <c r="Q41" i="8" s="1"/>
  <c r="G41" i="8" s="1"/>
  <c r="M41" i="8"/>
  <c r="J41" i="8"/>
  <c r="K41" i="8" s="1"/>
  <c r="L41" i="8" s="1"/>
  <c r="H41" i="8" s="1"/>
  <c r="I41" i="8"/>
  <c r="R40" i="8"/>
  <c r="N40" i="8"/>
  <c r="O40" i="8" s="1"/>
  <c r="P40" i="8" s="1"/>
  <c r="Q40" i="8" s="1"/>
  <c r="G40" i="8" s="1"/>
  <c r="M40" i="8"/>
  <c r="J40" i="8"/>
  <c r="K40" i="8" s="1"/>
  <c r="L40" i="8" s="1"/>
  <c r="H40" i="8" s="1"/>
  <c r="I40" i="8"/>
  <c r="R39" i="8"/>
  <c r="N39" i="8"/>
  <c r="O39" i="8" s="1"/>
  <c r="P39" i="8" s="1"/>
  <c r="Q39" i="8" s="1"/>
  <c r="G39" i="8" s="1"/>
  <c r="M39" i="8"/>
  <c r="J39" i="8"/>
  <c r="K39" i="8" s="1"/>
  <c r="L39" i="8" s="1"/>
  <c r="H39" i="8" s="1"/>
  <c r="I39" i="8"/>
  <c r="R38" i="8"/>
  <c r="N38" i="8"/>
  <c r="O38" i="8" s="1"/>
  <c r="P38" i="8" s="1"/>
  <c r="Q38" i="8" s="1"/>
  <c r="G38" i="8" s="1"/>
  <c r="M38" i="8"/>
  <c r="J38" i="8"/>
  <c r="K38" i="8" s="1"/>
  <c r="L38" i="8" s="1"/>
  <c r="H38" i="8" s="1"/>
  <c r="I38" i="8"/>
  <c r="R37" i="8"/>
  <c r="N37" i="8"/>
  <c r="O37" i="8" s="1"/>
  <c r="P37" i="8" s="1"/>
  <c r="Q37" i="8" s="1"/>
  <c r="G37" i="8" s="1"/>
  <c r="M37" i="8"/>
  <c r="J37" i="8"/>
  <c r="K37" i="8" s="1"/>
  <c r="L37" i="8" s="1"/>
  <c r="H37" i="8" s="1"/>
  <c r="I37" i="8"/>
  <c r="R36" i="8"/>
  <c r="N36" i="8"/>
  <c r="O36" i="8" s="1"/>
  <c r="P36" i="8" s="1"/>
  <c r="Q36" i="8" s="1"/>
  <c r="G36" i="8" s="1"/>
  <c r="M36" i="8"/>
  <c r="J36" i="8"/>
  <c r="K36" i="8" s="1"/>
  <c r="L36" i="8" s="1"/>
  <c r="H36" i="8" s="1"/>
  <c r="I36" i="8"/>
  <c r="R35" i="8"/>
  <c r="N35" i="8"/>
  <c r="O35" i="8" s="1"/>
  <c r="P35" i="8" s="1"/>
  <c r="Q35" i="8" s="1"/>
  <c r="G35" i="8" s="1"/>
  <c r="M35" i="8"/>
  <c r="J35" i="8"/>
  <c r="K35" i="8" s="1"/>
  <c r="L35" i="8" s="1"/>
  <c r="H35" i="8" s="1"/>
  <c r="I35" i="8"/>
  <c r="R34" i="8"/>
  <c r="N34" i="8"/>
  <c r="O34" i="8" s="1"/>
  <c r="P34" i="8" s="1"/>
  <c r="Q34" i="8" s="1"/>
  <c r="G34" i="8" s="1"/>
  <c r="M34" i="8"/>
  <c r="J34" i="8"/>
  <c r="K34" i="8" s="1"/>
  <c r="L34" i="8" s="1"/>
  <c r="H34" i="8" s="1"/>
  <c r="I34" i="8"/>
  <c r="R33" i="8"/>
  <c r="N33" i="8"/>
  <c r="O33" i="8" s="1"/>
  <c r="P33" i="8" s="1"/>
  <c r="Q33" i="8" s="1"/>
  <c r="G33" i="8" s="1"/>
  <c r="M33" i="8"/>
  <c r="J33" i="8"/>
  <c r="K33" i="8" s="1"/>
  <c r="L33" i="8" s="1"/>
  <c r="H33" i="8" s="1"/>
  <c r="I33" i="8"/>
  <c r="R32" i="8"/>
  <c r="N32" i="8"/>
  <c r="O32" i="8" s="1"/>
  <c r="P32" i="8" s="1"/>
  <c r="Q32" i="8" s="1"/>
  <c r="G32" i="8" s="1"/>
  <c r="M32" i="8"/>
  <c r="J32" i="8"/>
  <c r="K32" i="8" s="1"/>
  <c r="L32" i="8" s="1"/>
  <c r="H32" i="8" s="1"/>
  <c r="I32" i="8"/>
  <c r="R31" i="8"/>
  <c r="N31" i="8"/>
  <c r="O31" i="8" s="1"/>
  <c r="P31" i="8" s="1"/>
  <c r="Q31" i="8" s="1"/>
  <c r="G31" i="8" s="1"/>
  <c r="M31" i="8"/>
  <c r="J31" i="8"/>
  <c r="K31" i="8" s="1"/>
  <c r="L31" i="8" s="1"/>
  <c r="H31" i="8" s="1"/>
  <c r="I31" i="8"/>
  <c r="R30" i="8"/>
  <c r="N30" i="8"/>
  <c r="O30" i="8" s="1"/>
  <c r="P30" i="8" s="1"/>
  <c r="Q30" i="8" s="1"/>
  <c r="G30" i="8" s="1"/>
  <c r="M30" i="8"/>
  <c r="J30" i="8"/>
  <c r="K30" i="8" s="1"/>
  <c r="L30" i="8" s="1"/>
  <c r="H30" i="8" s="1"/>
  <c r="I30" i="8"/>
  <c r="R29" i="8"/>
  <c r="N29" i="8"/>
  <c r="O29" i="8" s="1"/>
  <c r="P29" i="8" s="1"/>
  <c r="Q29" i="8" s="1"/>
  <c r="G29" i="8" s="1"/>
  <c r="M29" i="8"/>
  <c r="J29" i="8"/>
  <c r="K29" i="8" s="1"/>
  <c r="L29" i="8" s="1"/>
  <c r="H29" i="8" s="1"/>
  <c r="I29" i="8"/>
  <c r="R28" i="8"/>
  <c r="N28" i="8"/>
  <c r="O28" i="8" s="1"/>
  <c r="P28" i="8" s="1"/>
  <c r="Q28" i="8" s="1"/>
  <c r="G28" i="8" s="1"/>
  <c r="M28" i="8"/>
  <c r="J28" i="8"/>
  <c r="K28" i="8" s="1"/>
  <c r="L28" i="8" s="1"/>
  <c r="H28" i="8" s="1"/>
  <c r="I28" i="8"/>
  <c r="R27" i="8"/>
  <c r="N27" i="8"/>
  <c r="O27" i="8" s="1"/>
  <c r="P27" i="8" s="1"/>
  <c r="Q27" i="8" s="1"/>
  <c r="G27" i="8" s="1"/>
  <c r="M27" i="8"/>
  <c r="J27" i="8"/>
  <c r="K27" i="8" s="1"/>
  <c r="L27" i="8" s="1"/>
  <c r="H27" i="8" s="1"/>
  <c r="I27" i="8"/>
  <c r="R26" i="8"/>
  <c r="N26" i="8"/>
  <c r="O26" i="8" s="1"/>
  <c r="P26" i="8" s="1"/>
  <c r="Q26" i="8" s="1"/>
  <c r="G26" i="8" s="1"/>
  <c r="M26" i="8"/>
  <c r="J26" i="8"/>
  <c r="K26" i="8" s="1"/>
  <c r="L26" i="8" s="1"/>
  <c r="H26" i="8" s="1"/>
  <c r="I26" i="8"/>
  <c r="R25" i="8"/>
  <c r="N25" i="8"/>
  <c r="O25" i="8" s="1"/>
  <c r="P25" i="8" s="1"/>
  <c r="Q25" i="8" s="1"/>
  <c r="G25" i="8" s="1"/>
  <c r="M25" i="8"/>
  <c r="J25" i="8"/>
  <c r="K25" i="8" s="1"/>
  <c r="L25" i="8" s="1"/>
  <c r="H25" i="8" s="1"/>
  <c r="I25" i="8"/>
  <c r="R24" i="8"/>
  <c r="N24" i="8"/>
  <c r="O24" i="8" s="1"/>
  <c r="P24" i="8" s="1"/>
  <c r="Q24" i="8" s="1"/>
  <c r="G24" i="8" s="1"/>
  <c r="M24" i="8"/>
  <c r="J24" i="8"/>
  <c r="K24" i="8" s="1"/>
  <c r="L24" i="8" s="1"/>
  <c r="H24" i="8" s="1"/>
  <c r="I24" i="8"/>
  <c r="R23" i="8"/>
  <c r="N23" i="8"/>
  <c r="O23" i="8" s="1"/>
  <c r="P23" i="8" s="1"/>
  <c r="Q23" i="8" s="1"/>
  <c r="G23" i="8" s="1"/>
  <c r="M23" i="8"/>
  <c r="J23" i="8"/>
  <c r="K23" i="8" s="1"/>
  <c r="L23" i="8" s="1"/>
  <c r="H23" i="8" s="1"/>
  <c r="I23" i="8"/>
  <c r="R22" i="8"/>
  <c r="N22" i="8"/>
  <c r="O22" i="8" s="1"/>
  <c r="P22" i="8" s="1"/>
  <c r="Q22" i="8" s="1"/>
  <c r="G22" i="8" s="1"/>
  <c r="M22" i="8"/>
  <c r="J22" i="8"/>
  <c r="K22" i="8" s="1"/>
  <c r="L22" i="8" s="1"/>
  <c r="H22" i="8" s="1"/>
  <c r="I22" i="8"/>
  <c r="R21" i="8"/>
  <c r="N21" i="8"/>
  <c r="O21" i="8" s="1"/>
  <c r="P21" i="8" s="1"/>
  <c r="Q21" i="8" s="1"/>
  <c r="G21" i="8" s="1"/>
  <c r="M21" i="8"/>
  <c r="J21" i="8"/>
  <c r="K21" i="8" s="1"/>
  <c r="L21" i="8" s="1"/>
  <c r="H21" i="8" s="1"/>
  <c r="I21" i="8"/>
  <c r="R20" i="8"/>
  <c r="N20" i="8"/>
  <c r="O20" i="8" s="1"/>
  <c r="P20" i="8" s="1"/>
  <c r="Q20" i="8" s="1"/>
  <c r="G20" i="8" s="1"/>
  <c r="M20" i="8"/>
  <c r="J20" i="8"/>
  <c r="K20" i="8" s="1"/>
  <c r="L20" i="8" s="1"/>
  <c r="H20" i="8" s="1"/>
  <c r="I20" i="8"/>
  <c r="R19" i="8"/>
  <c r="N19" i="8"/>
  <c r="O19" i="8" s="1"/>
  <c r="P19" i="8" s="1"/>
  <c r="Q19" i="8" s="1"/>
  <c r="G19" i="8" s="1"/>
  <c r="M19" i="8"/>
  <c r="J19" i="8"/>
  <c r="K19" i="8" s="1"/>
  <c r="L19" i="8" s="1"/>
  <c r="H19" i="8" s="1"/>
  <c r="I19" i="8"/>
  <c r="R18" i="8"/>
  <c r="N18" i="8"/>
  <c r="O18" i="8" s="1"/>
  <c r="P18" i="8" s="1"/>
  <c r="Q18" i="8" s="1"/>
  <c r="G18" i="8" s="1"/>
  <c r="M18" i="8"/>
  <c r="J18" i="8"/>
  <c r="K18" i="8" s="1"/>
  <c r="L18" i="8" s="1"/>
  <c r="H18" i="8" s="1"/>
  <c r="I18" i="8"/>
  <c r="R17" i="8"/>
  <c r="N17" i="8"/>
  <c r="O17" i="8" s="1"/>
  <c r="P17" i="8" s="1"/>
  <c r="Q17" i="8" s="1"/>
  <c r="G17" i="8" s="1"/>
  <c r="M17" i="8"/>
  <c r="I17" i="8"/>
  <c r="J17" i="8" s="1"/>
  <c r="K17" i="8" s="1"/>
  <c r="L17" i="8" s="1"/>
  <c r="H17" i="8" s="1"/>
  <c r="R16" i="8"/>
  <c r="N16" i="8"/>
  <c r="O16" i="8" s="1"/>
  <c r="P16" i="8" s="1"/>
  <c r="Q16" i="8" s="1"/>
  <c r="G16" i="8" s="1"/>
  <c r="M16" i="8"/>
  <c r="J16" i="8"/>
  <c r="K16" i="8" s="1"/>
  <c r="L16" i="8" s="1"/>
  <c r="I16" i="8"/>
  <c r="R15" i="8"/>
  <c r="N15" i="8"/>
  <c r="O15" i="8" s="1"/>
  <c r="P15" i="8" s="1"/>
  <c r="Q15" i="8" s="1"/>
  <c r="G15" i="8" s="1"/>
  <c r="M15" i="8"/>
  <c r="I15" i="8"/>
  <c r="J15" i="8" s="1"/>
  <c r="K15" i="8" s="1"/>
  <c r="L15" i="8" s="1"/>
  <c r="H15" i="8" s="1"/>
  <c r="R14" i="8"/>
  <c r="N14" i="8"/>
  <c r="O14" i="8" s="1"/>
  <c r="P14" i="8" s="1"/>
  <c r="Q14" i="8" s="1"/>
  <c r="G14" i="8" s="1"/>
  <c r="M14" i="8"/>
  <c r="I14" i="8"/>
  <c r="J14" i="8" s="1"/>
  <c r="K14" i="8" s="1"/>
  <c r="L14" i="8" s="1"/>
  <c r="R13" i="8"/>
  <c r="N13" i="8"/>
  <c r="O13" i="8" s="1"/>
  <c r="P13" i="8" s="1"/>
  <c r="Q13" i="8" s="1"/>
  <c r="G13" i="8" s="1"/>
  <c r="M13" i="8"/>
  <c r="I13" i="8"/>
  <c r="J13" i="8" s="1"/>
  <c r="K13" i="8" s="1"/>
  <c r="L13" i="8" s="1"/>
  <c r="H13" i="8" s="1"/>
  <c r="R12" i="8"/>
  <c r="N12" i="8"/>
  <c r="O12" i="8" s="1"/>
  <c r="P12" i="8" s="1"/>
  <c r="Q12" i="8" s="1"/>
  <c r="G12" i="8" s="1"/>
  <c r="M12" i="8"/>
  <c r="J12" i="8"/>
  <c r="K12" i="8" s="1"/>
  <c r="L12" i="8" s="1"/>
  <c r="H12" i="8" s="1"/>
  <c r="I12" i="8"/>
  <c r="R11" i="8"/>
  <c r="N11" i="8"/>
  <c r="O11" i="8" s="1"/>
  <c r="P11" i="8" s="1"/>
  <c r="Q11" i="8" s="1"/>
  <c r="M11" i="8"/>
  <c r="I11" i="8"/>
  <c r="J11" i="8" s="1"/>
  <c r="K11" i="8" s="1"/>
  <c r="L11" i="8" s="1"/>
  <c r="H11" i="8" s="1"/>
  <c r="R10" i="8"/>
  <c r="N10" i="8"/>
  <c r="O10" i="8" s="1"/>
  <c r="P10" i="8" s="1"/>
  <c r="Q10" i="8" s="1"/>
  <c r="G10" i="8" s="1"/>
  <c r="M10" i="8"/>
  <c r="I10" i="8"/>
  <c r="J10" i="8" s="1"/>
  <c r="K10" i="8" s="1"/>
  <c r="L10" i="8" s="1"/>
  <c r="R9" i="8"/>
  <c r="N9" i="8"/>
  <c r="O9" i="8" s="1"/>
  <c r="P9" i="8" s="1"/>
  <c r="Q9" i="8" s="1"/>
  <c r="G9" i="8" s="1"/>
  <c r="M9" i="8"/>
  <c r="J9" i="8"/>
  <c r="K9" i="8" s="1"/>
  <c r="L9" i="8" s="1"/>
  <c r="H9" i="8" s="1"/>
  <c r="I9" i="8"/>
  <c r="R8" i="8"/>
  <c r="N8" i="8"/>
  <c r="O8" i="8" s="1"/>
  <c r="P8" i="8" s="1"/>
  <c r="Q8" i="8" s="1"/>
  <c r="G8" i="8" s="1"/>
  <c r="M8" i="8"/>
  <c r="I8" i="8"/>
  <c r="J8" i="8" s="1"/>
  <c r="K8" i="8" s="1"/>
  <c r="L8" i="8" s="1"/>
  <c r="H8" i="8" s="1"/>
  <c r="R7" i="8"/>
  <c r="N7" i="8"/>
  <c r="O7" i="8" s="1"/>
  <c r="P7" i="8" s="1"/>
  <c r="Q7" i="8" s="1"/>
  <c r="M7" i="8"/>
  <c r="I7" i="8"/>
  <c r="J7" i="8" s="1"/>
  <c r="K7" i="8" s="1"/>
  <c r="L7" i="8" s="1"/>
  <c r="H7" i="8" s="1"/>
  <c r="R6" i="8"/>
  <c r="N6" i="8"/>
  <c r="O6" i="8" s="1"/>
  <c r="P6" i="8" s="1"/>
  <c r="Q6" i="8" s="1"/>
  <c r="G6" i="8" s="1"/>
  <c r="M6" i="8"/>
  <c r="I6" i="8"/>
  <c r="J6" i="8" s="1"/>
  <c r="K6" i="8" s="1"/>
  <c r="L6" i="8" s="1"/>
  <c r="R5" i="8"/>
  <c r="N5" i="8"/>
  <c r="O5" i="8" s="1"/>
  <c r="P5" i="8" s="1"/>
  <c r="Q5" i="8" s="1"/>
  <c r="G5" i="8" s="1"/>
  <c r="M5" i="8"/>
  <c r="I5" i="8"/>
  <c r="J5" i="8" s="1"/>
  <c r="K5" i="8" s="1"/>
  <c r="L5" i="8" s="1"/>
  <c r="H5" i="8" s="1"/>
  <c r="R4" i="8"/>
  <c r="N4" i="8"/>
  <c r="O4" i="8" s="1"/>
  <c r="M4" i="8"/>
  <c r="J4" i="8"/>
  <c r="K4" i="8" s="1"/>
  <c r="I4" i="8"/>
  <c r="F1" i="8"/>
  <c r="E1" i="8"/>
  <c r="D1" i="8"/>
  <c r="C1" i="8"/>
  <c r="B1" i="8"/>
  <c r="H4" i="11" l="1"/>
  <c r="L3" i="11"/>
  <c r="H3" i="11" s="1"/>
  <c r="H4" i="10"/>
  <c r="L3" i="10"/>
  <c r="H3" i="10" s="1"/>
  <c r="P3" i="9"/>
  <c r="Q4" i="9"/>
  <c r="H4" i="9"/>
  <c r="L3" i="9"/>
  <c r="H3" i="9" s="1"/>
  <c r="I3" i="8"/>
  <c r="G1" i="8"/>
  <c r="J3" i="8"/>
  <c r="H16" i="8"/>
  <c r="H14" i="8"/>
  <c r="G11" i="8"/>
  <c r="G7" i="8"/>
  <c r="M3" i="8"/>
  <c r="R3" i="8"/>
  <c r="H6" i="8"/>
  <c r="N3" i="8"/>
  <c r="L4" i="8"/>
  <c r="K3" i="8"/>
  <c r="H10" i="8"/>
  <c r="O3" i="8"/>
  <c r="P4" i="8"/>
  <c r="R51" i="6"/>
  <c r="N51" i="6"/>
  <c r="O51" i="6" s="1"/>
  <c r="P51" i="6" s="1"/>
  <c r="Q51" i="6" s="1"/>
  <c r="G51" i="6" s="1"/>
  <c r="M51" i="6"/>
  <c r="I51" i="6"/>
  <c r="J51" i="6" s="1"/>
  <c r="K51" i="6" s="1"/>
  <c r="L51" i="6" s="1"/>
  <c r="H51" i="6" s="1"/>
  <c r="R50" i="6"/>
  <c r="N50" i="6"/>
  <c r="O50" i="6" s="1"/>
  <c r="P50" i="6" s="1"/>
  <c r="Q50" i="6" s="1"/>
  <c r="G50" i="6" s="1"/>
  <c r="M50" i="6"/>
  <c r="I50" i="6"/>
  <c r="J50" i="6" s="1"/>
  <c r="K50" i="6" s="1"/>
  <c r="L50" i="6" s="1"/>
  <c r="H50" i="6" s="1"/>
  <c r="R49" i="6"/>
  <c r="N49" i="6"/>
  <c r="O49" i="6" s="1"/>
  <c r="P49" i="6" s="1"/>
  <c r="Q49" i="6" s="1"/>
  <c r="G49" i="6" s="1"/>
  <c r="M49" i="6"/>
  <c r="I49" i="6"/>
  <c r="J49" i="6" s="1"/>
  <c r="K49" i="6" s="1"/>
  <c r="L49" i="6" s="1"/>
  <c r="H49" i="6" s="1"/>
  <c r="R48" i="6"/>
  <c r="N48" i="6"/>
  <c r="O48" i="6" s="1"/>
  <c r="P48" i="6" s="1"/>
  <c r="Q48" i="6" s="1"/>
  <c r="G48" i="6" s="1"/>
  <c r="M48" i="6"/>
  <c r="I48" i="6"/>
  <c r="J48" i="6" s="1"/>
  <c r="K48" i="6" s="1"/>
  <c r="L48" i="6" s="1"/>
  <c r="H48" i="6" s="1"/>
  <c r="R47" i="6"/>
  <c r="N47" i="6"/>
  <c r="O47" i="6" s="1"/>
  <c r="P47" i="6" s="1"/>
  <c r="Q47" i="6" s="1"/>
  <c r="G47" i="6" s="1"/>
  <c r="M47" i="6"/>
  <c r="I47" i="6"/>
  <c r="J47" i="6" s="1"/>
  <c r="K47" i="6" s="1"/>
  <c r="L47" i="6" s="1"/>
  <c r="H47" i="6" s="1"/>
  <c r="R46" i="6"/>
  <c r="N46" i="6"/>
  <c r="O46" i="6" s="1"/>
  <c r="P46" i="6" s="1"/>
  <c r="Q46" i="6" s="1"/>
  <c r="G46" i="6" s="1"/>
  <c r="M46" i="6"/>
  <c r="I46" i="6"/>
  <c r="J46" i="6" s="1"/>
  <c r="K46" i="6" s="1"/>
  <c r="L46" i="6" s="1"/>
  <c r="H46" i="6" s="1"/>
  <c r="R45" i="6"/>
  <c r="N45" i="6"/>
  <c r="O45" i="6" s="1"/>
  <c r="P45" i="6" s="1"/>
  <c r="Q45" i="6" s="1"/>
  <c r="G45" i="6" s="1"/>
  <c r="M45" i="6"/>
  <c r="I45" i="6"/>
  <c r="J45" i="6" s="1"/>
  <c r="K45" i="6" s="1"/>
  <c r="L45" i="6" s="1"/>
  <c r="H45" i="6" s="1"/>
  <c r="R44" i="6"/>
  <c r="N44" i="6"/>
  <c r="O44" i="6" s="1"/>
  <c r="P44" i="6" s="1"/>
  <c r="Q44" i="6" s="1"/>
  <c r="G44" i="6" s="1"/>
  <c r="M44" i="6"/>
  <c r="I44" i="6"/>
  <c r="J44" i="6" s="1"/>
  <c r="K44" i="6" s="1"/>
  <c r="L44" i="6" s="1"/>
  <c r="H44" i="6" s="1"/>
  <c r="R43" i="6"/>
  <c r="N43" i="6"/>
  <c r="O43" i="6" s="1"/>
  <c r="P43" i="6" s="1"/>
  <c r="Q43" i="6" s="1"/>
  <c r="G43" i="6" s="1"/>
  <c r="M43" i="6"/>
  <c r="I43" i="6"/>
  <c r="J43" i="6" s="1"/>
  <c r="K43" i="6" s="1"/>
  <c r="L43" i="6" s="1"/>
  <c r="H43" i="6" s="1"/>
  <c r="R42" i="6"/>
  <c r="N42" i="6"/>
  <c r="O42" i="6" s="1"/>
  <c r="P42" i="6" s="1"/>
  <c r="Q42" i="6" s="1"/>
  <c r="G42" i="6" s="1"/>
  <c r="M42" i="6"/>
  <c r="I42" i="6"/>
  <c r="J42" i="6" s="1"/>
  <c r="K42" i="6" s="1"/>
  <c r="L42" i="6" s="1"/>
  <c r="H42" i="6" s="1"/>
  <c r="R41" i="6"/>
  <c r="N41" i="6"/>
  <c r="O41" i="6" s="1"/>
  <c r="P41" i="6" s="1"/>
  <c r="Q41" i="6" s="1"/>
  <c r="G41" i="6" s="1"/>
  <c r="M41" i="6"/>
  <c r="I41" i="6"/>
  <c r="J41" i="6" s="1"/>
  <c r="K41" i="6" s="1"/>
  <c r="L41" i="6" s="1"/>
  <c r="H41" i="6" s="1"/>
  <c r="R40" i="6"/>
  <c r="N40" i="6"/>
  <c r="O40" i="6" s="1"/>
  <c r="P40" i="6" s="1"/>
  <c r="Q40" i="6" s="1"/>
  <c r="G40" i="6" s="1"/>
  <c r="M40" i="6"/>
  <c r="I40" i="6"/>
  <c r="J40" i="6" s="1"/>
  <c r="K40" i="6" s="1"/>
  <c r="L40" i="6" s="1"/>
  <c r="H40" i="6" s="1"/>
  <c r="R39" i="6"/>
  <c r="N39" i="6"/>
  <c r="O39" i="6" s="1"/>
  <c r="P39" i="6" s="1"/>
  <c r="Q39" i="6" s="1"/>
  <c r="G39" i="6" s="1"/>
  <c r="M39" i="6"/>
  <c r="I39" i="6"/>
  <c r="J39" i="6" s="1"/>
  <c r="K39" i="6" s="1"/>
  <c r="L39" i="6" s="1"/>
  <c r="H39" i="6" s="1"/>
  <c r="R38" i="6"/>
  <c r="N38" i="6"/>
  <c r="O38" i="6" s="1"/>
  <c r="P38" i="6" s="1"/>
  <c r="Q38" i="6" s="1"/>
  <c r="G38" i="6" s="1"/>
  <c r="M38" i="6"/>
  <c r="I38" i="6"/>
  <c r="J38" i="6" s="1"/>
  <c r="K38" i="6" s="1"/>
  <c r="L38" i="6" s="1"/>
  <c r="H38" i="6" s="1"/>
  <c r="R37" i="6"/>
  <c r="N37" i="6"/>
  <c r="O37" i="6" s="1"/>
  <c r="P37" i="6" s="1"/>
  <c r="Q37" i="6" s="1"/>
  <c r="G37" i="6" s="1"/>
  <c r="M37" i="6"/>
  <c r="I37" i="6"/>
  <c r="J37" i="6" s="1"/>
  <c r="K37" i="6" s="1"/>
  <c r="L37" i="6" s="1"/>
  <c r="H37" i="6" s="1"/>
  <c r="R36" i="6"/>
  <c r="N36" i="6"/>
  <c r="O36" i="6" s="1"/>
  <c r="P36" i="6" s="1"/>
  <c r="Q36" i="6" s="1"/>
  <c r="G36" i="6" s="1"/>
  <c r="M36" i="6"/>
  <c r="I36" i="6"/>
  <c r="J36" i="6" s="1"/>
  <c r="K36" i="6" s="1"/>
  <c r="L36" i="6" s="1"/>
  <c r="H36" i="6" s="1"/>
  <c r="R35" i="6"/>
  <c r="N35" i="6"/>
  <c r="O35" i="6" s="1"/>
  <c r="P35" i="6" s="1"/>
  <c r="Q35" i="6" s="1"/>
  <c r="G35" i="6" s="1"/>
  <c r="M35" i="6"/>
  <c r="I35" i="6"/>
  <c r="J35" i="6" s="1"/>
  <c r="K35" i="6" s="1"/>
  <c r="L35" i="6" s="1"/>
  <c r="H35" i="6" s="1"/>
  <c r="R34" i="6"/>
  <c r="N34" i="6"/>
  <c r="O34" i="6" s="1"/>
  <c r="P34" i="6" s="1"/>
  <c r="Q34" i="6" s="1"/>
  <c r="G34" i="6" s="1"/>
  <c r="M34" i="6"/>
  <c r="I34" i="6"/>
  <c r="J34" i="6" s="1"/>
  <c r="K34" i="6" s="1"/>
  <c r="L34" i="6" s="1"/>
  <c r="H34" i="6" s="1"/>
  <c r="R33" i="6"/>
  <c r="N33" i="6"/>
  <c r="O33" i="6" s="1"/>
  <c r="P33" i="6" s="1"/>
  <c r="Q33" i="6" s="1"/>
  <c r="G33" i="6" s="1"/>
  <c r="M33" i="6"/>
  <c r="I33" i="6"/>
  <c r="J33" i="6" s="1"/>
  <c r="K33" i="6" s="1"/>
  <c r="L33" i="6" s="1"/>
  <c r="H33" i="6" s="1"/>
  <c r="R32" i="6"/>
  <c r="N32" i="6"/>
  <c r="O32" i="6" s="1"/>
  <c r="P32" i="6" s="1"/>
  <c r="Q32" i="6" s="1"/>
  <c r="G32" i="6" s="1"/>
  <c r="M32" i="6"/>
  <c r="I32" i="6"/>
  <c r="J32" i="6" s="1"/>
  <c r="K32" i="6" s="1"/>
  <c r="L32" i="6" s="1"/>
  <c r="H32" i="6" s="1"/>
  <c r="R31" i="6"/>
  <c r="N31" i="6"/>
  <c r="O31" i="6" s="1"/>
  <c r="P31" i="6" s="1"/>
  <c r="Q31" i="6" s="1"/>
  <c r="G31" i="6" s="1"/>
  <c r="M31" i="6"/>
  <c r="I31" i="6"/>
  <c r="J31" i="6" s="1"/>
  <c r="K31" i="6" s="1"/>
  <c r="L31" i="6" s="1"/>
  <c r="H31" i="6" s="1"/>
  <c r="R30" i="6"/>
  <c r="N30" i="6"/>
  <c r="O30" i="6" s="1"/>
  <c r="P30" i="6" s="1"/>
  <c r="Q30" i="6" s="1"/>
  <c r="G30" i="6" s="1"/>
  <c r="M30" i="6"/>
  <c r="I30" i="6"/>
  <c r="J30" i="6" s="1"/>
  <c r="K30" i="6" s="1"/>
  <c r="L30" i="6" s="1"/>
  <c r="H30" i="6" s="1"/>
  <c r="R29" i="6"/>
  <c r="N29" i="6"/>
  <c r="O29" i="6" s="1"/>
  <c r="P29" i="6" s="1"/>
  <c r="Q29" i="6" s="1"/>
  <c r="G29" i="6" s="1"/>
  <c r="M29" i="6"/>
  <c r="I29" i="6"/>
  <c r="J29" i="6" s="1"/>
  <c r="K29" i="6" s="1"/>
  <c r="L29" i="6" s="1"/>
  <c r="H29" i="6" s="1"/>
  <c r="R28" i="6"/>
  <c r="N28" i="6"/>
  <c r="O28" i="6" s="1"/>
  <c r="P28" i="6" s="1"/>
  <c r="Q28" i="6" s="1"/>
  <c r="G28" i="6" s="1"/>
  <c r="M28" i="6"/>
  <c r="I28" i="6"/>
  <c r="J28" i="6" s="1"/>
  <c r="K28" i="6" s="1"/>
  <c r="L28" i="6" s="1"/>
  <c r="H28" i="6" s="1"/>
  <c r="R27" i="6"/>
  <c r="N27" i="6"/>
  <c r="O27" i="6" s="1"/>
  <c r="P27" i="6" s="1"/>
  <c r="Q27" i="6" s="1"/>
  <c r="G27" i="6" s="1"/>
  <c r="M27" i="6"/>
  <c r="I27" i="6"/>
  <c r="J27" i="6" s="1"/>
  <c r="K27" i="6" s="1"/>
  <c r="L27" i="6" s="1"/>
  <c r="H27" i="6" s="1"/>
  <c r="R26" i="6"/>
  <c r="N26" i="6"/>
  <c r="O26" i="6" s="1"/>
  <c r="P26" i="6" s="1"/>
  <c r="Q26" i="6" s="1"/>
  <c r="G26" i="6" s="1"/>
  <c r="M26" i="6"/>
  <c r="I26" i="6"/>
  <c r="J26" i="6" s="1"/>
  <c r="K26" i="6" s="1"/>
  <c r="L26" i="6" s="1"/>
  <c r="H26" i="6" s="1"/>
  <c r="R25" i="6"/>
  <c r="N25" i="6"/>
  <c r="O25" i="6" s="1"/>
  <c r="P25" i="6" s="1"/>
  <c r="Q25" i="6" s="1"/>
  <c r="G25" i="6" s="1"/>
  <c r="M25" i="6"/>
  <c r="I25" i="6"/>
  <c r="J25" i="6" s="1"/>
  <c r="K25" i="6" s="1"/>
  <c r="L25" i="6" s="1"/>
  <c r="H25" i="6" s="1"/>
  <c r="R24" i="6"/>
  <c r="N24" i="6"/>
  <c r="O24" i="6" s="1"/>
  <c r="P24" i="6" s="1"/>
  <c r="Q24" i="6" s="1"/>
  <c r="G24" i="6" s="1"/>
  <c r="M24" i="6"/>
  <c r="I24" i="6"/>
  <c r="J24" i="6" s="1"/>
  <c r="K24" i="6" s="1"/>
  <c r="L24" i="6" s="1"/>
  <c r="H24" i="6" s="1"/>
  <c r="R23" i="6"/>
  <c r="N23" i="6"/>
  <c r="O23" i="6" s="1"/>
  <c r="P23" i="6" s="1"/>
  <c r="Q23" i="6" s="1"/>
  <c r="G23" i="6" s="1"/>
  <c r="M23" i="6"/>
  <c r="I23" i="6"/>
  <c r="J23" i="6" s="1"/>
  <c r="K23" i="6" s="1"/>
  <c r="L23" i="6" s="1"/>
  <c r="H23" i="6" s="1"/>
  <c r="R22" i="6"/>
  <c r="N22" i="6"/>
  <c r="O22" i="6" s="1"/>
  <c r="P22" i="6" s="1"/>
  <c r="Q22" i="6" s="1"/>
  <c r="G22" i="6" s="1"/>
  <c r="M22" i="6"/>
  <c r="I22" i="6"/>
  <c r="J22" i="6" s="1"/>
  <c r="K22" i="6" s="1"/>
  <c r="L22" i="6" s="1"/>
  <c r="H22" i="6" s="1"/>
  <c r="R21" i="6"/>
  <c r="N21" i="6"/>
  <c r="O21" i="6" s="1"/>
  <c r="P21" i="6" s="1"/>
  <c r="Q21" i="6" s="1"/>
  <c r="G21" i="6" s="1"/>
  <c r="M21" i="6"/>
  <c r="I21" i="6"/>
  <c r="J21" i="6" s="1"/>
  <c r="K21" i="6" s="1"/>
  <c r="L21" i="6" s="1"/>
  <c r="H21" i="6" s="1"/>
  <c r="R20" i="6"/>
  <c r="N20" i="6"/>
  <c r="O20" i="6" s="1"/>
  <c r="P20" i="6" s="1"/>
  <c r="Q20" i="6" s="1"/>
  <c r="G20" i="6" s="1"/>
  <c r="M20" i="6"/>
  <c r="I20" i="6"/>
  <c r="J20" i="6" s="1"/>
  <c r="K20" i="6" s="1"/>
  <c r="L20" i="6" s="1"/>
  <c r="H20" i="6" s="1"/>
  <c r="R19" i="6"/>
  <c r="N19" i="6"/>
  <c r="O19" i="6" s="1"/>
  <c r="P19" i="6" s="1"/>
  <c r="Q19" i="6" s="1"/>
  <c r="G19" i="6" s="1"/>
  <c r="M19" i="6"/>
  <c r="I19" i="6"/>
  <c r="J19" i="6" s="1"/>
  <c r="K19" i="6" s="1"/>
  <c r="L19" i="6" s="1"/>
  <c r="H19" i="6" s="1"/>
  <c r="R18" i="6"/>
  <c r="N18" i="6"/>
  <c r="O18" i="6" s="1"/>
  <c r="P18" i="6" s="1"/>
  <c r="Q18" i="6" s="1"/>
  <c r="G18" i="6" s="1"/>
  <c r="M18" i="6"/>
  <c r="I18" i="6"/>
  <c r="J18" i="6" s="1"/>
  <c r="K18" i="6" s="1"/>
  <c r="L18" i="6" s="1"/>
  <c r="H18" i="6" s="1"/>
  <c r="R17" i="6"/>
  <c r="N17" i="6"/>
  <c r="O17" i="6" s="1"/>
  <c r="P17" i="6" s="1"/>
  <c r="Q17" i="6" s="1"/>
  <c r="G17" i="6" s="1"/>
  <c r="M17" i="6"/>
  <c r="I17" i="6"/>
  <c r="J17" i="6" s="1"/>
  <c r="K17" i="6" s="1"/>
  <c r="L17" i="6" s="1"/>
  <c r="R16" i="6"/>
  <c r="N16" i="6"/>
  <c r="O16" i="6" s="1"/>
  <c r="P16" i="6" s="1"/>
  <c r="Q16" i="6" s="1"/>
  <c r="G16" i="6" s="1"/>
  <c r="M16" i="6"/>
  <c r="I16" i="6"/>
  <c r="J16" i="6" s="1"/>
  <c r="K16" i="6" s="1"/>
  <c r="L16" i="6" s="1"/>
  <c r="H16" i="6" s="1"/>
  <c r="R15" i="6"/>
  <c r="N15" i="6"/>
  <c r="O15" i="6" s="1"/>
  <c r="P15" i="6" s="1"/>
  <c r="Q15" i="6" s="1"/>
  <c r="M15" i="6"/>
  <c r="J15" i="6"/>
  <c r="K15" i="6" s="1"/>
  <c r="L15" i="6" s="1"/>
  <c r="I15" i="6"/>
  <c r="R14" i="6"/>
  <c r="N14" i="6"/>
  <c r="O14" i="6" s="1"/>
  <c r="P14" i="6" s="1"/>
  <c r="Q14" i="6" s="1"/>
  <c r="M14" i="6"/>
  <c r="I14" i="6"/>
  <c r="J14" i="6" s="1"/>
  <c r="K14" i="6" s="1"/>
  <c r="L14" i="6" s="1"/>
  <c r="H14" i="6" s="1"/>
  <c r="R13" i="6"/>
  <c r="N13" i="6"/>
  <c r="O13" i="6" s="1"/>
  <c r="P13" i="6" s="1"/>
  <c r="Q13" i="6" s="1"/>
  <c r="G13" i="6" s="1"/>
  <c r="M13" i="6"/>
  <c r="I13" i="6"/>
  <c r="J13" i="6" s="1"/>
  <c r="K13" i="6" s="1"/>
  <c r="L13" i="6" s="1"/>
  <c r="H13" i="6" s="1"/>
  <c r="R12" i="6"/>
  <c r="N12" i="6"/>
  <c r="O12" i="6" s="1"/>
  <c r="P12" i="6" s="1"/>
  <c r="Q12" i="6" s="1"/>
  <c r="G12" i="6" s="1"/>
  <c r="M12" i="6"/>
  <c r="I12" i="6"/>
  <c r="J12" i="6" s="1"/>
  <c r="K12" i="6" s="1"/>
  <c r="L12" i="6" s="1"/>
  <c r="H12" i="6" s="1"/>
  <c r="R11" i="6"/>
  <c r="N11" i="6"/>
  <c r="O11" i="6" s="1"/>
  <c r="P11" i="6" s="1"/>
  <c r="Q11" i="6" s="1"/>
  <c r="M11" i="6"/>
  <c r="I11" i="6"/>
  <c r="J11" i="6" s="1"/>
  <c r="K11" i="6" s="1"/>
  <c r="L11" i="6" s="1"/>
  <c r="H11" i="6" s="1"/>
  <c r="R10" i="6"/>
  <c r="N10" i="6"/>
  <c r="O10" i="6" s="1"/>
  <c r="P10" i="6" s="1"/>
  <c r="Q10" i="6" s="1"/>
  <c r="G10" i="6" s="1"/>
  <c r="M10" i="6"/>
  <c r="I10" i="6"/>
  <c r="J10" i="6" s="1"/>
  <c r="K10" i="6" s="1"/>
  <c r="L10" i="6" s="1"/>
  <c r="R9" i="6"/>
  <c r="N9" i="6"/>
  <c r="O9" i="6" s="1"/>
  <c r="P9" i="6" s="1"/>
  <c r="Q9" i="6" s="1"/>
  <c r="G9" i="6" s="1"/>
  <c r="M9" i="6"/>
  <c r="I9" i="6"/>
  <c r="J9" i="6" s="1"/>
  <c r="K9" i="6" s="1"/>
  <c r="L9" i="6" s="1"/>
  <c r="R8" i="6"/>
  <c r="N8" i="6"/>
  <c r="O8" i="6" s="1"/>
  <c r="P8" i="6" s="1"/>
  <c r="Q8" i="6" s="1"/>
  <c r="G8" i="6" s="1"/>
  <c r="M8" i="6"/>
  <c r="I8" i="6"/>
  <c r="J8" i="6" s="1"/>
  <c r="K8" i="6" s="1"/>
  <c r="L8" i="6" s="1"/>
  <c r="H8" i="6" s="1"/>
  <c r="R7" i="6"/>
  <c r="N7" i="6"/>
  <c r="O7" i="6" s="1"/>
  <c r="P7" i="6" s="1"/>
  <c r="Q7" i="6" s="1"/>
  <c r="M7" i="6"/>
  <c r="I7" i="6"/>
  <c r="J7" i="6" s="1"/>
  <c r="K7" i="6" s="1"/>
  <c r="L7" i="6" s="1"/>
  <c r="H7" i="6" s="1"/>
  <c r="R6" i="6"/>
  <c r="N6" i="6"/>
  <c r="O6" i="6" s="1"/>
  <c r="P6" i="6" s="1"/>
  <c r="Q6" i="6" s="1"/>
  <c r="G6" i="6" s="1"/>
  <c r="M6" i="6"/>
  <c r="I6" i="6"/>
  <c r="J6" i="6" s="1"/>
  <c r="K6" i="6" s="1"/>
  <c r="L6" i="6" s="1"/>
  <c r="H6" i="6" s="1"/>
  <c r="R5" i="6"/>
  <c r="N5" i="6"/>
  <c r="O5" i="6" s="1"/>
  <c r="P5" i="6" s="1"/>
  <c r="Q5" i="6" s="1"/>
  <c r="M5" i="6"/>
  <c r="I5" i="6"/>
  <c r="J5" i="6" s="1"/>
  <c r="K5" i="6" s="1"/>
  <c r="L5" i="6" s="1"/>
  <c r="H5" i="6" s="1"/>
  <c r="R4" i="6"/>
  <c r="O4" i="6"/>
  <c r="P4" i="6" s="1"/>
  <c r="N4" i="6"/>
  <c r="M4" i="6"/>
  <c r="I4" i="6"/>
  <c r="J4" i="6" s="1"/>
  <c r="F1" i="6"/>
  <c r="E1" i="6"/>
  <c r="D1" i="6"/>
  <c r="C1" i="6"/>
  <c r="B1" i="6"/>
  <c r="G4" i="9" l="1"/>
  <c r="Q3" i="9"/>
  <c r="G3" i="9" s="1"/>
  <c r="L3" i="8"/>
  <c r="H3" i="8" s="1"/>
  <c r="H4" i="8"/>
  <c r="Q4" i="8"/>
  <c r="P3" i="8"/>
  <c r="G15" i="6"/>
  <c r="N3" i="6"/>
  <c r="H17" i="6"/>
  <c r="H15" i="6"/>
  <c r="G14" i="6"/>
  <c r="G11" i="6"/>
  <c r="H10" i="6"/>
  <c r="H9" i="6"/>
  <c r="G7" i="6"/>
  <c r="M3" i="6"/>
  <c r="G1" i="6"/>
  <c r="R3" i="6"/>
  <c r="G5" i="6"/>
  <c r="K4" i="6"/>
  <c r="J3" i="6"/>
  <c r="P3" i="6"/>
  <c r="Q4" i="6"/>
  <c r="I3" i="6"/>
  <c r="O3" i="6"/>
  <c r="R51" i="5"/>
  <c r="N51" i="5"/>
  <c r="O51" i="5" s="1"/>
  <c r="P51" i="5" s="1"/>
  <c r="Q51" i="5" s="1"/>
  <c r="G51" i="5" s="1"/>
  <c r="M51" i="5"/>
  <c r="I51" i="5"/>
  <c r="J51" i="5" s="1"/>
  <c r="K51" i="5" s="1"/>
  <c r="L51" i="5" s="1"/>
  <c r="H51" i="5" s="1"/>
  <c r="R50" i="5"/>
  <c r="N50" i="5"/>
  <c r="O50" i="5" s="1"/>
  <c r="P50" i="5" s="1"/>
  <c r="Q50" i="5" s="1"/>
  <c r="G50" i="5" s="1"/>
  <c r="M50" i="5"/>
  <c r="I50" i="5"/>
  <c r="J50" i="5" s="1"/>
  <c r="K50" i="5" s="1"/>
  <c r="L50" i="5" s="1"/>
  <c r="H50" i="5"/>
  <c r="R49" i="5"/>
  <c r="N49" i="5"/>
  <c r="O49" i="5" s="1"/>
  <c r="P49" i="5" s="1"/>
  <c r="Q49" i="5" s="1"/>
  <c r="G49" i="5" s="1"/>
  <c r="M49" i="5"/>
  <c r="J49" i="5"/>
  <c r="K49" i="5" s="1"/>
  <c r="L49" i="5" s="1"/>
  <c r="H49" i="5" s="1"/>
  <c r="I49" i="5"/>
  <c r="R48" i="5"/>
  <c r="O48" i="5"/>
  <c r="P48" i="5" s="1"/>
  <c r="Q48" i="5" s="1"/>
  <c r="G48" i="5" s="1"/>
  <c r="N48" i="5"/>
  <c r="M48" i="5"/>
  <c r="I48" i="5"/>
  <c r="J48" i="5" s="1"/>
  <c r="K48" i="5" s="1"/>
  <c r="L48" i="5" s="1"/>
  <c r="H48" i="5" s="1"/>
  <c r="R47" i="5"/>
  <c r="N47" i="5"/>
  <c r="O47" i="5" s="1"/>
  <c r="P47" i="5" s="1"/>
  <c r="Q47" i="5" s="1"/>
  <c r="G47" i="5" s="1"/>
  <c r="M47" i="5"/>
  <c r="I47" i="5"/>
  <c r="J47" i="5" s="1"/>
  <c r="K47" i="5" s="1"/>
  <c r="L47" i="5" s="1"/>
  <c r="H47" i="5" s="1"/>
  <c r="R46" i="5"/>
  <c r="N46" i="5"/>
  <c r="O46" i="5" s="1"/>
  <c r="P46" i="5" s="1"/>
  <c r="Q46" i="5" s="1"/>
  <c r="G46" i="5" s="1"/>
  <c r="M46" i="5"/>
  <c r="I46" i="5"/>
  <c r="J46" i="5" s="1"/>
  <c r="K46" i="5" s="1"/>
  <c r="L46" i="5" s="1"/>
  <c r="H46" i="5"/>
  <c r="R45" i="5"/>
  <c r="N45" i="5"/>
  <c r="O45" i="5" s="1"/>
  <c r="P45" i="5" s="1"/>
  <c r="Q45" i="5" s="1"/>
  <c r="G45" i="5" s="1"/>
  <c r="M45" i="5"/>
  <c r="I45" i="5"/>
  <c r="J45" i="5" s="1"/>
  <c r="K45" i="5" s="1"/>
  <c r="L45" i="5" s="1"/>
  <c r="H45" i="5" s="1"/>
  <c r="R44" i="5"/>
  <c r="N44" i="5"/>
  <c r="O44" i="5" s="1"/>
  <c r="P44" i="5" s="1"/>
  <c r="Q44" i="5" s="1"/>
  <c r="G44" i="5" s="1"/>
  <c r="M44" i="5"/>
  <c r="I44" i="5"/>
  <c r="J44" i="5" s="1"/>
  <c r="K44" i="5" s="1"/>
  <c r="L44" i="5" s="1"/>
  <c r="H44" i="5" s="1"/>
  <c r="R43" i="5"/>
  <c r="N43" i="5"/>
  <c r="O43" i="5" s="1"/>
  <c r="P43" i="5" s="1"/>
  <c r="Q43" i="5" s="1"/>
  <c r="G43" i="5" s="1"/>
  <c r="M43" i="5"/>
  <c r="I43" i="5"/>
  <c r="J43" i="5" s="1"/>
  <c r="K43" i="5" s="1"/>
  <c r="L43" i="5" s="1"/>
  <c r="H43" i="5"/>
  <c r="R42" i="5"/>
  <c r="N42" i="5"/>
  <c r="O42" i="5" s="1"/>
  <c r="P42" i="5" s="1"/>
  <c r="Q42" i="5" s="1"/>
  <c r="G42" i="5" s="1"/>
  <c r="M42" i="5"/>
  <c r="I42" i="5"/>
  <c r="J42" i="5" s="1"/>
  <c r="K42" i="5" s="1"/>
  <c r="L42" i="5" s="1"/>
  <c r="H42" i="5" s="1"/>
  <c r="R41" i="5"/>
  <c r="N41" i="5"/>
  <c r="O41" i="5" s="1"/>
  <c r="P41" i="5" s="1"/>
  <c r="Q41" i="5" s="1"/>
  <c r="G41" i="5" s="1"/>
  <c r="M41" i="5"/>
  <c r="I41" i="5"/>
  <c r="J41" i="5" s="1"/>
  <c r="K41" i="5" s="1"/>
  <c r="L41" i="5" s="1"/>
  <c r="H41" i="5" s="1"/>
  <c r="R40" i="5"/>
  <c r="N40" i="5"/>
  <c r="O40" i="5" s="1"/>
  <c r="P40" i="5" s="1"/>
  <c r="Q40" i="5" s="1"/>
  <c r="G40" i="5" s="1"/>
  <c r="M40" i="5"/>
  <c r="I40" i="5"/>
  <c r="J40" i="5" s="1"/>
  <c r="K40" i="5" s="1"/>
  <c r="L40" i="5" s="1"/>
  <c r="H40" i="5"/>
  <c r="R39" i="5"/>
  <c r="N39" i="5"/>
  <c r="O39" i="5" s="1"/>
  <c r="P39" i="5" s="1"/>
  <c r="Q39" i="5" s="1"/>
  <c r="G39" i="5" s="1"/>
  <c r="M39" i="5"/>
  <c r="I39" i="5"/>
  <c r="J39" i="5" s="1"/>
  <c r="K39" i="5" s="1"/>
  <c r="L39" i="5" s="1"/>
  <c r="H39" i="5" s="1"/>
  <c r="R38" i="5"/>
  <c r="N38" i="5"/>
  <c r="O38" i="5" s="1"/>
  <c r="P38" i="5" s="1"/>
  <c r="Q38" i="5" s="1"/>
  <c r="G38" i="5" s="1"/>
  <c r="M38" i="5"/>
  <c r="I38" i="5"/>
  <c r="J38" i="5" s="1"/>
  <c r="K38" i="5" s="1"/>
  <c r="L38" i="5" s="1"/>
  <c r="H38" i="5" s="1"/>
  <c r="R37" i="5"/>
  <c r="N37" i="5"/>
  <c r="O37" i="5" s="1"/>
  <c r="P37" i="5" s="1"/>
  <c r="Q37" i="5" s="1"/>
  <c r="G37" i="5" s="1"/>
  <c r="M37" i="5"/>
  <c r="I37" i="5"/>
  <c r="J37" i="5" s="1"/>
  <c r="K37" i="5" s="1"/>
  <c r="L37" i="5" s="1"/>
  <c r="H37" i="5"/>
  <c r="R36" i="5"/>
  <c r="N36" i="5"/>
  <c r="O36" i="5" s="1"/>
  <c r="P36" i="5" s="1"/>
  <c r="Q36" i="5" s="1"/>
  <c r="G36" i="5" s="1"/>
  <c r="M36" i="5"/>
  <c r="I36" i="5"/>
  <c r="J36" i="5" s="1"/>
  <c r="K36" i="5" s="1"/>
  <c r="L36" i="5" s="1"/>
  <c r="H36" i="5" s="1"/>
  <c r="R35" i="5"/>
  <c r="N35" i="5"/>
  <c r="O35" i="5" s="1"/>
  <c r="P35" i="5" s="1"/>
  <c r="Q35" i="5" s="1"/>
  <c r="G35" i="5" s="1"/>
  <c r="M35" i="5"/>
  <c r="I35" i="5"/>
  <c r="J35" i="5" s="1"/>
  <c r="K35" i="5" s="1"/>
  <c r="L35" i="5" s="1"/>
  <c r="H35" i="5" s="1"/>
  <c r="R34" i="5"/>
  <c r="N34" i="5"/>
  <c r="O34" i="5" s="1"/>
  <c r="P34" i="5" s="1"/>
  <c r="Q34" i="5" s="1"/>
  <c r="G34" i="5" s="1"/>
  <c r="M34" i="5"/>
  <c r="I34" i="5"/>
  <c r="J34" i="5" s="1"/>
  <c r="K34" i="5" s="1"/>
  <c r="L34" i="5" s="1"/>
  <c r="H34" i="5" s="1"/>
  <c r="R33" i="5"/>
  <c r="N33" i="5"/>
  <c r="O33" i="5" s="1"/>
  <c r="P33" i="5" s="1"/>
  <c r="Q33" i="5" s="1"/>
  <c r="G33" i="5" s="1"/>
  <c r="M33" i="5"/>
  <c r="I33" i="5"/>
  <c r="J33" i="5" s="1"/>
  <c r="K33" i="5" s="1"/>
  <c r="L33" i="5" s="1"/>
  <c r="H33" i="5" s="1"/>
  <c r="R32" i="5"/>
  <c r="N32" i="5"/>
  <c r="O32" i="5" s="1"/>
  <c r="P32" i="5" s="1"/>
  <c r="Q32" i="5" s="1"/>
  <c r="G32" i="5" s="1"/>
  <c r="M32" i="5"/>
  <c r="I32" i="5"/>
  <c r="J32" i="5" s="1"/>
  <c r="K32" i="5" s="1"/>
  <c r="L32" i="5" s="1"/>
  <c r="H32" i="5" s="1"/>
  <c r="R31" i="5"/>
  <c r="N31" i="5"/>
  <c r="O31" i="5" s="1"/>
  <c r="P31" i="5" s="1"/>
  <c r="Q31" i="5" s="1"/>
  <c r="G31" i="5" s="1"/>
  <c r="M31" i="5"/>
  <c r="I31" i="5"/>
  <c r="J31" i="5" s="1"/>
  <c r="K31" i="5" s="1"/>
  <c r="L31" i="5" s="1"/>
  <c r="H31" i="5"/>
  <c r="R30" i="5"/>
  <c r="N30" i="5"/>
  <c r="O30" i="5" s="1"/>
  <c r="P30" i="5" s="1"/>
  <c r="Q30" i="5" s="1"/>
  <c r="G30" i="5" s="1"/>
  <c r="M30" i="5"/>
  <c r="I30" i="5"/>
  <c r="J30" i="5" s="1"/>
  <c r="K30" i="5" s="1"/>
  <c r="L30" i="5" s="1"/>
  <c r="H30" i="5" s="1"/>
  <c r="R29" i="5"/>
  <c r="N29" i="5"/>
  <c r="O29" i="5" s="1"/>
  <c r="P29" i="5" s="1"/>
  <c r="Q29" i="5" s="1"/>
  <c r="G29" i="5" s="1"/>
  <c r="M29" i="5"/>
  <c r="I29" i="5"/>
  <c r="J29" i="5" s="1"/>
  <c r="K29" i="5" s="1"/>
  <c r="L29" i="5" s="1"/>
  <c r="H29" i="5" s="1"/>
  <c r="R28" i="5"/>
  <c r="N28" i="5"/>
  <c r="O28" i="5" s="1"/>
  <c r="P28" i="5" s="1"/>
  <c r="Q28" i="5" s="1"/>
  <c r="G28" i="5" s="1"/>
  <c r="M28" i="5"/>
  <c r="I28" i="5"/>
  <c r="J28" i="5" s="1"/>
  <c r="K28" i="5" s="1"/>
  <c r="L28" i="5" s="1"/>
  <c r="H28" i="5"/>
  <c r="R27" i="5"/>
  <c r="N27" i="5"/>
  <c r="O27" i="5" s="1"/>
  <c r="P27" i="5" s="1"/>
  <c r="Q27" i="5" s="1"/>
  <c r="G27" i="5" s="1"/>
  <c r="M27" i="5"/>
  <c r="I27" i="5"/>
  <c r="J27" i="5" s="1"/>
  <c r="K27" i="5" s="1"/>
  <c r="L27" i="5" s="1"/>
  <c r="H27" i="5" s="1"/>
  <c r="R26" i="5"/>
  <c r="N26" i="5"/>
  <c r="O26" i="5" s="1"/>
  <c r="P26" i="5" s="1"/>
  <c r="Q26" i="5" s="1"/>
  <c r="G26" i="5" s="1"/>
  <c r="M26" i="5"/>
  <c r="I26" i="5"/>
  <c r="J26" i="5" s="1"/>
  <c r="K26" i="5" s="1"/>
  <c r="L26" i="5" s="1"/>
  <c r="H26" i="5" s="1"/>
  <c r="R25" i="5"/>
  <c r="N25" i="5"/>
  <c r="O25" i="5" s="1"/>
  <c r="P25" i="5" s="1"/>
  <c r="Q25" i="5" s="1"/>
  <c r="G25" i="5" s="1"/>
  <c r="M25" i="5"/>
  <c r="I25" i="5"/>
  <c r="J25" i="5" s="1"/>
  <c r="K25" i="5" s="1"/>
  <c r="L25" i="5" s="1"/>
  <c r="H25" i="5" s="1"/>
  <c r="R24" i="5"/>
  <c r="N24" i="5"/>
  <c r="O24" i="5" s="1"/>
  <c r="P24" i="5" s="1"/>
  <c r="Q24" i="5" s="1"/>
  <c r="G24" i="5" s="1"/>
  <c r="M24" i="5"/>
  <c r="I24" i="5"/>
  <c r="J24" i="5" s="1"/>
  <c r="K24" i="5" s="1"/>
  <c r="L24" i="5" s="1"/>
  <c r="H24" i="5" s="1"/>
  <c r="R23" i="5"/>
  <c r="N23" i="5"/>
  <c r="O23" i="5" s="1"/>
  <c r="P23" i="5" s="1"/>
  <c r="Q23" i="5" s="1"/>
  <c r="G23" i="5" s="1"/>
  <c r="M23" i="5"/>
  <c r="I23" i="5"/>
  <c r="J23" i="5" s="1"/>
  <c r="K23" i="5" s="1"/>
  <c r="L23" i="5" s="1"/>
  <c r="H23" i="5" s="1"/>
  <c r="R22" i="5"/>
  <c r="N22" i="5"/>
  <c r="O22" i="5" s="1"/>
  <c r="P22" i="5" s="1"/>
  <c r="Q22" i="5" s="1"/>
  <c r="G22" i="5" s="1"/>
  <c r="M22" i="5"/>
  <c r="I22" i="5"/>
  <c r="J22" i="5" s="1"/>
  <c r="K22" i="5" s="1"/>
  <c r="L22" i="5" s="1"/>
  <c r="H22" i="5"/>
  <c r="R21" i="5"/>
  <c r="N21" i="5"/>
  <c r="O21" i="5" s="1"/>
  <c r="P21" i="5" s="1"/>
  <c r="Q21" i="5" s="1"/>
  <c r="G21" i="5" s="1"/>
  <c r="M21" i="5"/>
  <c r="I21" i="5"/>
  <c r="J21" i="5" s="1"/>
  <c r="K21" i="5" s="1"/>
  <c r="L21" i="5" s="1"/>
  <c r="H21" i="5" s="1"/>
  <c r="R20" i="5"/>
  <c r="N20" i="5"/>
  <c r="O20" i="5" s="1"/>
  <c r="P20" i="5" s="1"/>
  <c r="Q20" i="5" s="1"/>
  <c r="G20" i="5" s="1"/>
  <c r="M20" i="5"/>
  <c r="I20" i="5"/>
  <c r="J20" i="5" s="1"/>
  <c r="K20" i="5" s="1"/>
  <c r="L20" i="5" s="1"/>
  <c r="H20" i="5" s="1"/>
  <c r="R19" i="5"/>
  <c r="N19" i="5"/>
  <c r="O19" i="5" s="1"/>
  <c r="P19" i="5" s="1"/>
  <c r="Q19" i="5" s="1"/>
  <c r="M19" i="5"/>
  <c r="I19" i="5"/>
  <c r="J19" i="5" s="1"/>
  <c r="K19" i="5" s="1"/>
  <c r="L19" i="5" s="1"/>
  <c r="R18" i="5"/>
  <c r="N18" i="5"/>
  <c r="O18" i="5" s="1"/>
  <c r="P18" i="5" s="1"/>
  <c r="Q18" i="5" s="1"/>
  <c r="G18" i="5" s="1"/>
  <c r="M18" i="5"/>
  <c r="I18" i="5"/>
  <c r="J18" i="5" s="1"/>
  <c r="K18" i="5" s="1"/>
  <c r="L18" i="5" s="1"/>
  <c r="H18" i="5" s="1"/>
  <c r="R17" i="5"/>
  <c r="N17" i="5"/>
  <c r="O17" i="5" s="1"/>
  <c r="P17" i="5" s="1"/>
  <c r="Q17" i="5" s="1"/>
  <c r="M17" i="5"/>
  <c r="I17" i="5"/>
  <c r="J17" i="5" s="1"/>
  <c r="K17" i="5" s="1"/>
  <c r="L17" i="5" s="1"/>
  <c r="H17" i="5" s="1"/>
  <c r="R16" i="5"/>
  <c r="N16" i="5"/>
  <c r="O16" i="5" s="1"/>
  <c r="P16" i="5" s="1"/>
  <c r="Q16" i="5" s="1"/>
  <c r="G16" i="5" s="1"/>
  <c r="M16" i="5"/>
  <c r="I16" i="5"/>
  <c r="J16" i="5" s="1"/>
  <c r="K16" i="5" s="1"/>
  <c r="L16" i="5" s="1"/>
  <c r="R15" i="5"/>
  <c r="N15" i="5"/>
  <c r="O15" i="5" s="1"/>
  <c r="P15" i="5" s="1"/>
  <c r="Q15" i="5" s="1"/>
  <c r="G15" i="5" s="1"/>
  <c r="M15" i="5"/>
  <c r="I15" i="5"/>
  <c r="J15" i="5" s="1"/>
  <c r="K15" i="5" s="1"/>
  <c r="L15" i="5" s="1"/>
  <c r="R14" i="5"/>
  <c r="N14" i="5"/>
  <c r="O14" i="5" s="1"/>
  <c r="P14" i="5" s="1"/>
  <c r="Q14" i="5" s="1"/>
  <c r="M14" i="5"/>
  <c r="I14" i="5"/>
  <c r="J14" i="5" s="1"/>
  <c r="K14" i="5" s="1"/>
  <c r="L14" i="5" s="1"/>
  <c r="H14" i="5" s="1"/>
  <c r="R13" i="5"/>
  <c r="N13" i="5"/>
  <c r="O13" i="5" s="1"/>
  <c r="P13" i="5" s="1"/>
  <c r="Q13" i="5" s="1"/>
  <c r="G13" i="5" s="1"/>
  <c r="M13" i="5"/>
  <c r="I13" i="5"/>
  <c r="J13" i="5" s="1"/>
  <c r="K13" i="5" s="1"/>
  <c r="L13" i="5" s="1"/>
  <c r="R12" i="5"/>
  <c r="N12" i="5"/>
  <c r="O12" i="5" s="1"/>
  <c r="P12" i="5" s="1"/>
  <c r="Q12" i="5" s="1"/>
  <c r="M12" i="5"/>
  <c r="I12" i="5"/>
  <c r="J12" i="5" s="1"/>
  <c r="K12" i="5" s="1"/>
  <c r="L12" i="5" s="1"/>
  <c r="H12" i="5" s="1"/>
  <c r="R11" i="5"/>
  <c r="N11" i="5"/>
  <c r="O11" i="5" s="1"/>
  <c r="P11" i="5" s="1"/>
  <c r="Q11" i="5" s="1"/>
  <c r="M11" i="5"/>
  <c r="I11" i="5"/>
  <c r="J11" i="5" s="1"/>
  <c r="K11" i="5" s="1"/>
  <c r="L11" i="5" s="1"/>
  <c r="R10" i="5"/>
  <c r="N10" i="5"/>
  <c r="O10" i="5" s="1"/>
  <c r="P10" i="5" s="1"/>
  <c r="Q10" i="5" s="1"/>
  <c r="G10" i="5" s="1"/>
  <c r="M10" i="5"/>
  <c r="I10" i="5"/>
  <c r="J10" i="5" s="1"/>
  <c r="K10" i="5" s="1"/>
  <c r="L10" i="5" s="1"/>
  <c r="R9" i="5"/>
  <c r="N9" i="5"/>
  <c r="O9" i="5" s="1"/>
  <c r="P9" i="5" s="1"/>
  <c r="Q9" i="5" s="1"/>
  <c r="G9" i="5" s="1"/>
  <c r="M9" i="5"/>
  <c r="I9" i="5"/>
  <c r="J9" i="5" s="1"/>
  <c r="K9" i="5" s="1"/>
  <c r="L9" i="5" s="1"/>
  <c r="H9" i="5" s="1"/>
  <c r="R8" i="5"/>
  <c r="N8" i="5"/>
  <c r="O8" i="5" s="1"/>
  <c r="P8" i="5" s="1"/>
  <c r="Q8" i="5" s="1"/>
  <c r="M8" i="5"/>
  <c r="I8" i="5"/>
  <c r="J8" i="5" s="1"/>
  <c r="K8" i="5" s="1"/>
  <c r="L8" i="5" s="1"/>
  <c r="R7" i="5"/>
  <c r="N7" i="5"/>
  <c r="O7" i="5" s="1"/>
  <c r="P7" i="5" s="1"/>
  <c r="Q7" i="5" s="1"/>
  <c r="G7" i="5" s="1"/>
  <c r="M7" i="5"/>
  <c r="I7" i="5"/>
  <c r="J7" i="5" s="1"/>
  <c r="K7" i="5" s="1"/>
  <c r="L7" i="5" s="1"/>
  <c r="R6" i="5"/>
  <c r="N6" i="5"/>
  <c r="O6" i="5" s="1"/>
  <c r="P6" i="5" s="1"/>
  <c r="Q6" i="5" s="1"/>
  <c r="G6" i="5" s="1"/>
  <c r="M6" i="5"/>
  <c r="I6" i="5"/>
  <c r="J6" i="5" s="1"/>
  <c r="K6" i="5" s="1"/>
  <c r="L6" i="5" s="1"/>
  <c r="R5" i="5"/>
  <c r="N5" i="5"/>
  <c r="O5" i="5" s="1"/>
  <c r="P5" i="5" s="1"/>
  <c r="Q5" i="5" s="1"/>
  <c r="M5" i="5"/>
  <c r="I5" i="5"/>
  <c r="J5" i="5" s="1"/>
  <c r="K5" i="5" s="1"/>
  <c r="L5" i="5" s="1"/>
  <c r="H5" i="5" s="1"/>
  <c r="R4" i="5"/>
  <c r="N4" i="5"/>
  <c r="O4" i="5" s="1"/>
  <c r="M4" i="5"/>
  <c r="I4" i="5"/>
  <c r="F1" i="5"/>
  <c r="E1" i="5"/>
  <c r="D1" i="5"/>
  <c r="C1" i="5"/>
  <c r="B1" i="5"/>
  <c r="Q3" i="8" l="1"/>
  <c r="G3" i="8" s="1"/>
  <c r="G4" i="8"/>
  <c r="G4" i="6"/>
  <c r="Q3" i="6"/>
  <c r="G3" i="6" s="1"/>
  <c r="L4" i="6"/>
  <c r="K3" i="6"/>
  <c r="H19" i="5"/>
  <c r="H8" i="5"/>
  <c r="G12" i="5"/>
  <c r="H11" i="5"/>
  <c r="G17" i="5"/>
  <c r="G1" i="5"/>
  <c r="G19" i="5"/>
  <c r="H16" i="5"/>
  <c r="H15" i="5"/>
  <c r="G14" i="5"/>
  <c r="H13" i="5"/>
  <c r="G11" i="5"/>
  <c r="H10" i="5"/>
  <c r="G8" i="5"/>
  <c r="H7" i="5"/>
  <c r="M3" i="5"/>
  <c r="H6" i="5"/>
  <c r="R3" i="5"/>
  <c r="G5" i="5"/>
  <c r="O3" i="5"/>
  <c r="P4" i="5"/>
  <c r="N3" i="5"/>
  <c r="I3" i="5"/>
  <c r="J4" i="5"/>
  <c r="R51" i="4"/>
  <c r="N51" i="4"/>
  <c r="O51" i="4" s="1"/>
  <c r="P51" i="4" s="1"/>
  <c r="Q51" i="4" s="1"/>
  <c r="G51" i="4" s="1"/>
  <c r="M51" i="4"/>
  <c r="I51" i="4"/>
  <c r="J51" i="4" s="1"/>
  <c r="K51" i="4" s="1"/>
  <c r="L51" i="4" s="1"/>
  <c r="H51" i="4" s="1"/>
  <c r="R50" i="4"/>
  <c r="N50" i="4"/>
  <c r="O50" i="4" s="1"/>
  <c r="P50" i="4" s="1"/>
  <c r="Q50" i="4" s="1"/>
  <c r="G50" i="4" s="1"/>
  <c r="M50" i="4"/>
  <c r="I50" i="4"/>
  <c r="J50" i="4" s="1"/>
  <c r="K50" i="4" s="1"/>
  <c r="L50" i="4" s="1"/>
  <c r="H50" i="4" s="1"/>
  <c r="R49" i="4"/>
  <c r="N49" i="4"/>
  <c r="O49" i="4" s="1"/>
  <c r="P49" i="4" s="1"/>
  <c r="Q49" i="4" s="1"/>
  <c r="G49" i="4" s="1"/>
  <c r="M49" i="4"/>
  <c r="I49" i="4"/>
  <c r="J49" i="4" s="1"/>
  <c r="K49" i="4" s="1"/>
  <c r="L49" i="4" s="1"/>
  <c r="H49" i="4" s="1"/>
  <c r="R48" i="4"/>
  <c r="N48" i="4"/>
  <c r="O48" i="4" s="1"/>
  <c r="P48" i="4" s="1"/>
  <c r="Q48" i="4" s="1"/>
  <c r="G48" i="4" s="1"/>
  <c r="M48" i="4"/>
  <c r="I48" i="4"/>
  <c r="J48" i="4" s="1"/>
  <c r="K48" i="4" s="1"/>
  <c r="L48" i="4" s="1"/>
  <c r="H48" i="4" s="1"/>
  <c r="R47" i="4"/>
  <c r="N47" i="4"/>
  <c r="O47" i="4" s="1"/>
  <c r="P47" i="4" s="1"/>
  <c r="Q47" i="4" s="1"/>
  <c r="G47" i="4" s="1"/>
  <c r="M47" i="4"/>
  <c r="I47" i="4"/>
  <c r="J47" i="4" s="1"/>
  <c r="K47" i="4" s="1"/>
  <c r="L47" i="4" s="1"/>
  <c r="H47" i="4" s="1"/>
  <c r="R46" i="4"/>
  <c r="N46" i="4"/>
  <c r="O46" i="4" s="1"/>
  <c r="P46" i="4" s="1"/>
  <c r="Q46" i="4" s="1"/>
  <c r="G46" i="4" s="1"/>
  <c r="M46" i="4"/>
  <c r="I46" i="4"/>
  <c r="J46" i="4" s="1"/>
  <c r="K46" i="4" s="1"/>
  <c r="L46" i="4" s="1"/>
  <c r="H46" i="4" s="1"/>
  <c r="R45" i="4"/>
  <c r="N45" i="4"/>
  <c r="O45" i="4" s="1"/>
  <c r="P45" i="4" s="1"/>
  <c r="Q45" i="4" s="1"/>
  <c r="G45" i="4" s="1"/>
  <c r="M45" i="4"/>
  <c r="I45" i="4"/>
  <c r="J45" i="4" s="1"/>
  <c r="K45" i="4" s="1"/>
  <c r="L45" i="4" s="1"/>
  <c r="H45" i="4" s="1"/>
  <c r="R44" i="4"/>
  <c r="N44" i="4"/>
  <c r="O44" i="4" s="1"/>
  <c r="P44" i="4" s="1"/>
  <c r="Q44" i="4" s="1"/>
  <c r="G44" i="4" s="1"/>
  <c r="M44" i="4"/>
  <c r="I44" i="4"/>
  <c r="J44" i="4" s="1"/>
  <c r="K44" i="4" s="1"/>
  <c r="L44" i="4" s="1"/>
  <c r="H44" i="4" s="1"/>
  <c r="R43" i="4"/>
  <c r="N43" i="4"/>
  <c r="O43" i="4" s="1"/>
  <c r="P43" i="4" s="1"/>
  <c r="Q43" i="4" s="1"/>
  <c r="G43" i="4" s="1"/>
  <c r="M43" i="4"/>
  <c r="I43" i="4"/>
  <c r="J43" i="4" s="1"/>
  <c r="K43" i="4" s="1"/>
  <c r="L43" i="4" s="1"/>
  <c r="H43" i="4" s="1"/>
  <c r="R42" i="4"/>
  <c r="N42" i="4"/>
  <c r="O42" i="4" s="1"/>
  <c r="P42" i="4" s="1"/>
  <c r="Q42" i="4" s="1"/>
  <c r="G42" i="4" s="1"/>
  <c r="M42" i="4"/>
  <c r="I42" i="4"/>
  <c r="J42" i="4" s="1"/>
  <c r="K42" i="4" s="1"/>
  <c r="L42" i="4" s="1"/>
  <c r="H42" i="4" s="1"/>
  <c r="R41" i="4"/>
  <c r="N41" i="4"/>
  <c r="O41" i="4" s="1"/>
  <c r="P41" i="4" s="1"/>
  <c r="Q41" i="4" s="1"/>
  <c r="G41" i="4" s="1"/>
  <c r="M41" i="4"/>
  <c r="I41" i="4"/>
  <c r="J41" i="4" s="1"/>
  <c r="K41" i="4" s="1"/>
  <c r="L41" i="4" s="1"/>
  <c r="H41" i="4" s="1"/>
  <c r="R40" i="4"/>
  <c r="N40" i="4"/>
  <c r="O40" i="4" s="1"/>
  <c r="P40" i="4" s="1"/>
  <c r="Q40" i="4" s="1"/>
  <c r="G40" i="4" s="1"/>
  <c r="M40" i="4"/>
  <c r="I40" i="4"/>
  <c r="J40" i="4" s="1"/>
  <c r="K40" i="4" s="1"/>
  <c r="L40" i="4" s="1"/>
  <c r="H40" i="4" s="1"/>
  <c r="R39" i="4"/>
  <c r="N39" i="4"/>
  <c r="O39" i="4" s="1"/>
  <c r="P39" i="4" s="1"/>
  <c r="Q39" i="4" s="1"/>
  <c r="G39" i="4" s="1"/>
  <c r="M39" i="4"/>
  <c r="I39" i="4"/>
  <c r="J39" i="4" s="1"/>
  <c r="K39" i="4" s="1"/>
  <c r="L39" i="4" s="1"/>
  <c r="H39" i="4" s="1"/>
  <c r="R38" i="4"/>
  <c r="N38" i="4"/>
  <c r="O38" i="4" s="1"/>
  <c r="P38" i="4" s="1"/>
  <c r="Q38" i="4" s="1"/>
  <c r="G38" i="4" s="1"/>
  <c r="M38" i="4"/>
  <c r="I38" i="4"/>
  <c r="J38" i="4" s="1"/>
  <c r="K38" i="4" s="1"/>
  <c r="L38" i="4" s="1"/>
  <c r="H38" i="4" s="1"/>
  <c r="R37" i="4"/>
  <c r="N37" i="4"/>
  <c r="O37" i="4" s="1"/>
  <c r="P37" i="4" s="1"/>
  <c r="Q37" i="4" s="1"/>
  <c r="G37" i="4" s="1"/>
  <c r="M37" i="4"/>
  <c r="I37" i="4"/>
  <c r="J37" i="4" s="1"/>
  <c r="K37" i="4" s="1"/>
  <c r="L37" i="4" s="1"/>
  <c r="H37" i="4" s="1"/>
  <c r="R36" i="4"/>
  <c r="N36" i="4"/>
  <c r="O36" i="4" s="1"/>
  <c r="P36" i="4" s="1"/>
  <c r="Q36" i="4" s="1"/>
  <c r="G36" i="4" s="1"/>
  <c r="M36" i="4"/>
  <c r="I36" i="4"/>
  <c r="J36" i="4" s="1"/>
  <c r="K36" i="4" s="1"/>
  <c r="L36" i="4" s="1"/>
  <c r="H36" i="4" s="1"/>
  <c r="R35" i="4"/>
  <c r="N35" i="4"/>
  <c r="O35" i="4" s="1"/>
  <c r="P35" i="4" s="1"/>
  <c r="Q35" i="4" s="1"/>
  <c r="G35" i="4" s="1"/>
  <c r="M35" i="4"/>
  <c r="I35" i="4"/>
  <c r="J35" i="4" s="1"/>
  <c r="K35" i="4" s="1"/>
  <c r="L35" i="4" s="1"/>
  <c r="H35" i="4" s="1"/>
  <c r="R34" i="4"/>
  <c r="N34" i="4"/>
  <c r="O34" i="4" s="1"/>
  <c r="P34" i="4" s="1"/>
  <c r="Q34" i="4" s="1"/>
  <c r="G34" i="4" s="1"/>
  <c r="M34" i="4"/>
  <c r="I34" i="4"/>
  <c r="J34" i="4" s="1"/>
  <c r="K34" i="4" s="1"/>
  <c r="L34" i="4" s="1"/>
  <c r="H34" i="4" s="1"/>
  <c r="R33" i="4"/>
  <c r="N33" i="4"/>
  <c r="O33" i="4" s="1"/>
  <c r="P33" i="4" s="1"/>
  <c r="Q33" i="4" s="1"/>
  <c r="G33" i="4" s="1"/>
  <c r="M33" i="4"/>
  <c r="I33" i="4"/>
  <c r="J33" i="4" s="1"/>
  <c r="K33" i="4" s="1"/>
  <c r="L33" i="4" s="1"/>
  <c r="H33" i="4" s="1"/>
  <c r="R32" i="4"/>
  <c r="N32" i="4"/>
  <c r="O32" i="4" s="1"/>
  <c r="P32" i="4" s="1"/>
  <c r="Q32" i="4" s="1"/>
  <c r="G32" i="4" s="1"/>
  <c r="M32" i="4"/>
  <c r="I32" i="4"/>
  <c r="J32" i="4" s="1"/>
  <c r="K32" i="4" s="1"/>
  <c r="L32" i="4" s="1"/>
  <c r="H32" i="4" s="1"/>
  <c r="R31" i="4"/>
  <c r="N31" i="4"/>
  <c r="O31" i="4" s="1"/>
  <c r="P31" i="4" s="1"/>
  <c r="Q31" i="4" s="1"/>
  <c r="G31" i="4" s="1"/>
  <c r="M31" i="4"/>
  <c r="I31" i="4"/>
  <c r="J31" i="4" s="1"/>
  <c r="K31" i="4" s="1"/>
  <c r="L31" i="4" s="1"/>
  <c r="H31" i="4" s="1"/>
  <c r="R30" i="4"/>
  <c r="N30" i="4"/>
  <c r="O30" i="4" s="1"/>
  <c r="P30" i="4" s="1"/>
  <c r="Q30" i="4" s="1"/>
  <c r="G30" i="4" s="1"/>
  <c r="M30" i="4"/>
  <c r="I30" i="4"/>
  <c r="J30" i="4" s="1"/>
  <c r="K30" i="4" s="1"/>
  <c r="L30" i="4" s="1"/>
  <c r="H30" i="4" s="1"/>
  <c r="R29" i="4"/>
  <c r="N29" i="4"/>
  <c r="O29" i="4" s="1"/>
  <c r="P29" i="4" s="1"/>
  <c r="Q29" i="4" s="1"/>
  <c r="G29" i="4" s="1"/>
  <c r="M29" i="4"/>
  <c r="I29" i="4"/>
  <c r="J29" i="4" s="1"/>
  <c r="K29" i="4" s="1"/>
  <c r="L29" i="4" s="1"/>
  <c r="H29" i="4" s="1"/>
  <c r="R28" i="4"/>
  <c r="N28" i="4"/>
  <c r="O28" i="4" s="1"/>
  <c r="P28" i="4" s="1"/>
  <c r="Q28" i="4" s="1"/>
  <c r="G28" i="4" s="1"/>
  <c r="M28" i="4"/>
  <c r="I28" i="4"/>
  <c r="J28" i="4" s="1"/>
  <c r="K28" i="4" s="1"/>
  <c r="L28" i="4" s="1"/>
  <c r="H28" i="4" s="1"/>
  <c r="R27" i="4"/>
  <c r="N27" i="4"/>
  <c r="O27" i="4" s="1"/>
  <c r="P27" i="4" s="1"/>
  <c r="Q27" i="4" s="1"/>
  <c r="G27" i="4" s="1"/>
  <c r="M27" i="4"/>
  <c r="I27" i="4"/>
  <c r="J27" i="4" s="1"/>
  <c r="K27" i="4" s="1"/>
  <c r="L27" i="4" s="1"/>
  <c r="H27" i="4" s="1"/>
  <c r="R26" i="4"/>
  <c r="N26" i="4"/>
  <c r="O26" i="4" s="1"/>
  <c r="P26" i="4" s="1"/>
  <c r="Q26" i="4" s="1"/>
  <c r="G26" i="4" s="1"/>
  <c r="M26" i="4"/>
  <c r="I26" i="4"/>
  <c r="J26" i="4" s="1"/>
  <c r="K26" i="4" s="1"/>
  <c r="L26" i="4" s="1"/>
  <c r="H26" i="4" s="1"/>
  <c r="R25" i="4"/>
  <c r="N25" i="4"/>
  <c r="O25" i="4" s="1"/>
  <c r="P25" i="4" s="1"/>
  <c r="Q25" i="4" s="1"/>
  <c r="G25" i="4" s="1"/>
  <c r="M25" i="4"/>
  <c r="I25" i="4"/>
  <c r="J25" i="4" s="1"/>
  <c r="K25" i="4" s="1"/>
  <c r="L25" i="4" s="1"/>
  <c r="H25" i="4" s="1"/>
  <c r="R24" i="4"/>
  <c r="N24" i="4"/>
  <c r="O24" i="4" s="1"/>
  <c r="P24" i="4" s="1"/>
  <c r="Q24" i="4" s="1"/>
  <c r="G24" i="4" s="1"/>
  <c r="M24" i="4"/>
  <c r="I24" i="4"/>
  <c r="J24" i="4" s="1"/>
  <c r="K24" i="4" s="1"/>
  <c r="L24" i="4" s="1"/>
  <c r="H24" i="4" s="1"/>
  <c r="R23" i="4"/>
  <c r="N23" i="4"/>
  <c r="O23" i="4" s="1"/>
  <c r="P23" i="4" s="1"/>
  <c r="Q23" i="4" s="1"/>
  <c r="G23" i="4" s="1"/>
  <c r="M23" i="4"/>
  <c r="I23" i="4"/>
  <c r="J23" i="4" s="1"/>
  <c r="K23" i="4" s="1"/>
  <c r="L23" i="4" s="1"/>
  <c r="H23" i="4" s="1"/>
  <c r="R22" i="4"/>
  <c r="N22" i="4"/>
  <c r="O22" i="4" s="1"/>
  <c r="P22" i="4" s="1"/>
  <c r="Q22" i="4" s="1"/>
  <c r="G22" i="4" s="1"/>
  <c r="M22" i="4"/>
  <c r="I22" i="4"/>
  <c r="J22" i="4" s="1"/>
  <c r="K22" i="4" s="1"/>
  <c r="L22" i="4" s="1"/>
  <c r="H22" i="4" s="1"/>
  <c r="R21" i="4"/>
  <c r="N21" i="4"/>
  <c r="O21" i="4" s="1"/>
  <c r="P21" i="4" s="1"/>
  <c r="Q21" i="4" s="1"/>
  <c r="G21" i="4" s="1"/>
  <c r="M21" i="4"/>
  <c r="I21" i="4"/>
  <c r="J21" i="4" s="1"/>
  <c r="K21" i="4" s="1"/>
  <c r="L21" i="4" s="1"/>
  <c r="H21" i="4" s="1"/>
  <c r="R20" i="4"/>
  <c r="N20" i="4"/>
  <c r="O20" i="4" s="1"/>
  <c r="P20" i="4" s="1"/>
  <c r="Q20" i="4" s="1"/>
  <c r="G20" i="4" s="1"/>
  <c r="M20" i="4"/>
  <c r="I20" i="4"/>
  <c r="J20" i="4" s="1"/>
  <c r="K20" i="4" s="1"/>
  <c r="L20" i="4" s="1"/>
  <c r="H20" i="4" s="1"/>
  <c r="R19" i="4"/>
  <c r="N19" i="4"/>
  <c r="O19" i="4" s="1"/>
  <c r="P19" i="4" s="1"/>
  <c r="Q19" i="4" s="1"/>
  <c r="M19" i="4"/>
  <c r="I19" i="4"/>
  <c r="J19" i="4" s="1"/>
  <c r="K19" i="4" s="1"/>
  <c r="L19" i="4" s="1"/>
  <c r="H19" i="4" s="1"/>
  <c r="R18" i="4"/>
  <c r="N18" i="4"/>
  <c r="O18" i="4" s="1"/>
  <c r="P18" i="4" s="1"/>
  <c r="Q18" i="4" s="1"/>
  <c r="M18" i="4"/>
  <c r="I18" i="4"/>
  <c r="J18" i="4" s="1"/>
  <c r="K18" i="4" s="1"/>
  <c r="L18" i="4" s="1"/>
  <c r="R17" i="4"/>
  <c r="N17" i="4"/>
  <c r="O17" i="4" s="1"/>
  <c r="P17" i="4" s="1"/>
  <c r="Q17" i="4" s="1"/>
  <c r="G17" i="4" s="1"/>
  <c r="M17" i="4"/>
  <c r="I17" i="4"/>
  <c r="J17" i="4" s="1"/>
  <c r="K17" i="4" s="1"/>
  <c r="L17" i="4" s="1"/>
  <c r="R16" i="4"/>
  <c r="N16" i="4"/>
  <c r="O16" i="4" s="1"/>
  <c r="P16" i="4" s="1"/>
  <c r="Q16" i="4" s="1"/>
  <c r="G16" i="4" s="1"/>
  <c r="M16" i="4"/>
  <c r="I16" i="4"/>
  <c r="J16" i="4" s="1"/>
  <c r="K16" i="4" s="1"/>
  <c r="L16" i="4" s="1"/>
  <c r="H16" i="4" s="1"/>
  <c r="R15" i="4"/>
  <c r="N15" i="4"/>
  <c r="O15" i="4" s="1"/>
  <c r="P15" i="4" s="1"/>
  <c r="Q15" i="4" s="1"/>
  <c r="G15" i="4" s="1"/>
  <c r="M15" i="4"/>
  <c r="I15" i="4"/>
  <c r="J15" i="4" s="1"/>
  <c r="K15" i="4" s="1"/>
  <c r="L15" i="4" s="1"/>
  <c r="R14" i="4"/>
  <c r="N14" i="4"/>
  <c r="O14" i="4" s="1"/>
  <c r="P14" i="4" s="1"/>
  <c r="Q14" i="4" s="1"/>
  <c r="M14" i="4"/>
  <c r="I14" i="4"/>
  <c r="J14" i="4" s="1"/>
  <c r="K14" i="4" s="1"/>
  <c r="L14" i="4" s="1"/>
  <c r="R13" i="4"/>
  <c r="N13" i="4"/>
  <c r="O13" i="4" s="1"/>
  <c r="P13" i="4" s="1"/>
  <c r="Q13" i="4" s="1"/>
  <c r="G13" i="4" s="1"/>
  <c r="M13" i="4"/>
  <c r="I13" i="4"/>
  <c r="J13" i="4" s="1"/>
  <c r="K13" i="4" s="1"/>
  <c r="L13" i="4" s="1"/>
  <c r="H13" i="4" s="1"/>
  <c r="R12" i="4"/>
  <c r="N12" i="4"/>
  <c r="O12" i="4" s="1"/>
  <c r="P12" i="4" s="1"/>
  <c r="Q12" i="4" s="1"/>
  <c r="G12" i="4" s="1"/>
  <c r="M12" i="4"/>
  <c r="I12" i="4"/>
  <c r="J12" i="4" s="1"/>
  <c r="K12" i="4" s="1"/>
  <c r="L12" i="4" s="1"/>
  <c r="H12" i="4" s="1"/>
  <c r="R11" i="4"/>
  <c r="N11" i="4"/>
  <c r="O11" i="4" s="1"/>
  <c r="P11" i="4" s="1"/>
  <c r="Q11" i="4" s="1"/>
  <c r="G11" i="4" s="1"/>
  <c r="M11" i="4"/>
  <c r="I11" i="4"/>
  <c r="J11" i="4" s="1"/>
  <c r="K11" i="4" s="1"/>
  <c r="L11" i="4" s="1"/>
  <c r="H11" i="4" s="1"/>
  <c r="R10" i="4"/>
  <c r="N10" i="4"/>
  <c r="O10" i="4" s="1"/>
  <c r="P10" i="4" s="1"/>
  <c r="Q10" i="4" s="1"/>
  <c r="G10" i="4" s="1"/>
  <c r="M10" i="4"/>
  <c r="I10" i="4"/>
  <c r="J10" i="4" s="1"/>
  <c r="K10" i="4" s="1"/>
  <c r="L10" i="4" s="1"/>
  <c r="H10" i="4" s="1"/>
  <c r="R9" i="4"/>
  <c r="N9" i="4"/>
  <c r="O9" i="4" s="1"/>
  <c r="P9" i="4" s="1"/>
  <c r="Q9" i="4" s="1"/>
  <c r="G9" i="4" s="1"/>
  <c r="M9" i="4"/>
  <c r="I9" i="4"/>
  <c r="J9" i="4" s="1"/>
  <c r="K9" i="4" s="1"/>
  <c r="L9" i="4" s="1"/>
  <c r="R8" i="4"/>
  <c r="N8" i="4"/>
  <c r="O8" i="4" s="1"/>
  <c r="P8" i="4" s="1"/>
  <c r="Q8" i="4" s="1"/>
  <c r="G8" i="4" s="1"/>
  <c r="M8" i="4"/>
  <c r="I8" i="4"/>
  <c r="J8" i="4" s="1"/>
  <c r="K8" i="4" s="1"/>
  <c r="L8" i="4" s="1"/>
  <c r="H8" i="4" s="1"/>
  <c r="R7" i="4"/>
  <c r="N7" i="4"/>
  <c r="O7" i="4" s="1"/>
  <c r="P7" i="4" s="1"/>
  <c r="Q7" i="4" s="1"/>
  <c r="M7" i="4"/>
  <c r="I7" i="4"/>
  <c r="J7" i="4" s="1"/>
  <c r="K7" i="4" s="1"/>
  <c r="L7" i="4" s="1"/>
  <c r="H7" i="4" s="1"/>
  <c r="R6" i="4"/>
  <c r="N6" i="4"/>
  <c r="O6" i="4" s="1"/>
  <c r="P6" i="4" s="1"/>
  <c r="Q6" i="4" s="1"/>
  <c r="G6" i="4" s="1"/>
  <c r="M6" i="4"/>
  <c r="I6" i="4"/>
  <c r="J6" i="4" s="1"/>
  <c r="K6" i="4" s="1"/>
  <c r="L6" i="4" s="1"/>
  <c r="R5" i="4"/>
  <c r="N5" i="4"/>
  <c r="O5" i="4" s="1"/>
  <c r="P5" i="4" s="1"/>
  <c r="Q5" i="4" s="1"/>
  <c r="M5" i="4"/>
  <c r="I5" i="4"/>
  <c r="J5" i="4" s="1"/>
  <c r="K5" i="4" s="1"/>
  <c r="L5" i="4" s="1"/>
  <c r="R4" i="4"/>
  <c r="N4" i="4"/>
  <c r="O4" i="4" s="1"/>
  <c r="M4" i="4"/>
  <c r="I4" i="4"/>
  <c r="J4" i="4" s="1"/>
  <c r="F1" i="4"/>
  <c r="E1" i="4"/>
  <c r="D1" i="4"/>
  <c r="C1" i="4"/>
  <c r="B1" i="4"/>
  <c r="H4" i="6" l="1"/>
  <c r="L3" i="6"/>
  <c r="H3" i="6" s="1"/>
  <c r="J3" i="5"/>
  <c r="K4" i="5"/>
  <c r="P3" i="5"/>
  <c r="Q4" i="5"/>
  <c r="G19" i="4"/>
  <c r="H9" i="4"/>
  <c r="G7" i="4"/>
  <c r="H15" i="4"/>
  <c r="H14" i="4"/>
  <c r="N3" i="4"/>
  <c r="H5" i="4"/>
  <c r="M3" i="4"/>
  <c r="G1" i="4"/>
  <c r="H18" i="4"/>
  <c r="G18" i="4"/>
  <c r="H17" i="4"/>
  <c r="G14" i="4"/>
  <c r="R3" i="4"/>
  <c r="H6" i="4"/>
  <c r="G5" i="4"/>
  <c r="K4" i="4"/>
  <c r="J3" i="4"/>
  <c r="P4" i="4"/>
  <c r="O3" i="4"/>
  <c r="I3" i="4"/>
  <c r="R51" i="3"/>
  <c r="N51" i="3"/>
  <c r="O51" i="3" s="1"/>
  <c r="P51" i="3" s="1"/>
  <c r="Q51" i="3" s="1"/>
  <c r="G51" i="3" s="1"/>
  <c r="M51" i="3"/>
  <c r="I51" i="3"/>
  <c r="J51" i="3" s="1"/>
  <c r="K51" i="3" s="1"/>
  <c r="L51" i="3" s="1"/>
  <c r="H51" i="3" s="1"/>
  <c r="R50" i="3"/>
  <c r="N50" i="3"/>
  <c r="O50" i="3" s="1"/>
  <c r="P50" i="3" s="1"/>
  <c r="Q50" i="3" s="1"/>
  <c r="G50" i="3" s="1"/>
  <c r="M50" i="3"/>
  <c r="I50" i="3"/>
  <c r="J50" i="3" s="1"/>
  <c r="K50" i="3" s="1"/>
  <c r="L50" i="3" s="1"/>
  <c r="H50" i="3" s="1"/>
  <c r="R49" i="3"/>
  <c r="N49" i="3"/>
  <c r="O49" i="3" s="1"/>
  <c r="P49" i="3" s="1"/>
  <c r="Q49" i="3" s="1"/>
  <c r="G49" i="3" s="1"/>
  <c r="M49" i="3"/>
  <c r="J49" i="3"/>
  <c r="K49" i="3" s="1"/>
  <c r="L49" i="3" s="1"/>
  <c r="H49" i="3" s="1"/>
  <c r="I49" i="3"/>
  <c r="R48" i="3"/>
  <c r="N48" i="3"/>
  <c r="O48" i="3" s="1"/>
  <c r="P48" i="3" s="1"/>
  <c r="Q48" i="3" s="1"/>
  <c r="G48" i="3" s="1"/>
  <c r="M48" i="3"/>
  <c r="I48" i="3"/>
  <c r="J48" i="3" s="1"/>
  <c r="K48" i="3" s="1"/>
  <c r="L48" i="3" s="1"/>
  <c r="H48" i="3" s="1"/>
  <c r="R47" i="3"/>
  <c r="N47" i="3"/>
  <c r="O47" i="3" s="1"/>
  <c r="P47" i="3" s="1"/>
  <c r="Q47" i="3" s="1"/>
  <c r="G47" i="3" s="1"/>
  <c r="M47" i="3"/>
  <c r="I47" i="3"/>
  <c r="J47" i="3" s="1"/>
  <c r="K47" i="3" s="1"/>
  <c r="L47" i="3" s="1"/>
  <c r="H47" i="3" s="1"/>
  <c r="R46" i="3"/>
  <c r="P46" i="3"/>
  <c r="Q46" i="3" s="1"/>
  <c r="G46" i="3" s="1"/>
  <c r="N46" i="3"/>
  <c r="O46" i="3" s="1"/>
  <c r="M46" i="3"/>
  <c r="J46" i="3"/>
  <c r="K46" i="3" s="1"/>
  <c r="L46" i="3" s="1"/>
  <c r="H46" i="3" s="1"/>
  <c r="I46" i="3"/>
  <c r="R45" i="3"/>
  <c r="O45" i="3"/>
  <c r="P45" i="3" s="1"/>
  <c r="Q45" i="3" s="1"/>
  <c r="G45" i="3" s="1"/>
  <c r="N45" i="3"/>
  <c r="M45" i="3"/>
  <c r="I45" i="3"/>
  <c r="J45" i="3" s="1"/>
  <c r="K45" i="3" s="1"/>
  <c r="L45" i="3" s="1"/>
  <c r="H45" i="3" s="1"/>
  <c r="R44" i="3"/>
  <c r="N44" i="3"/>
  <c r="O44" i="3" s="1"/>
  <c r="P44" i="3" s="1"/>
  <c r="Q44" i="3" s="1"/>
  <c r="G44" i="3" s="1"/>
  <c r="M44" i="3"/>
  <c r="I44" i="3"/>
  <c r="J44" i="3" s="1"/>
  <c r="K44" i="3" s="1"/>
  <c r="L44" i="3" s="1"/>
  <c r="H44" i="3" s="1"/>
  <c r="R43" i="3"/>
  <c r="P43" i="3"/>
  <c r="Q43" i="3" s="1"/>
  <c r="G43" i="3" s="1"/>
  <c r="N43" i="3"/>
  <c r="O43" i="3" s="1"/>
  <c r="M43" i="3"/>
  <c r="I43" i="3"/>
  <c r="J43" i="3" s="1"/>
  <c r="K43" i="3" s="1"/>
  <c r="L43" i="3" s="1"/>
  <c r="H43" i="3" s="1"/>
  <c r="R42" i="3"/>
  <c r="N42" i="3"/>
  <c r="O42" i="3" s="1"/>
  <c r="P42" i="3" s="1"/>
  <c r="Q42" i="3" s="1"/>
  <c r="G42" i="3" s="1"/>
  <c r="M42" i="3"/>
  <c r="I42" i="3"/>
  <c r="J42" i="3" s="1"/>
  <c r="K42" i="3" s="1"/>
  <c r="L42" i="3" s="1"/>
  <c r="H42" i="3"/>
  <c r="R41" i="3"/>
  <c r="N41" i="3"/>
  <c r="O41" i="3" s="1"/>
  <c r="P41" i="3" s="1"/>
  <c r="Q41" i="3" s="1"/>
  <c r="G41" i="3" s="1"/>
  <c r="M41" i="3"/>
  <c r="I41" i="3"/>
  <c r="J41" i="3" s="1"/>
  <c r="K41" i="3" s="1"/>
  <c r="L41" i="3" s="1"/>
  <c r="H41" i="3" s="1"/>
  <c r="R40" i="3"/>
  <c r="N40" i="3"/>
  <c r="O40" i="3" s="1"/>
  <c r="P40" i="3" s="1"/>
  <c r="Q40" i="3" s="1"/>
  <c r="G40" i="3" s="1"/>
  <c r="M40" i="3"/>
  <c r="J40" i="3"/>
  <c r="K40" i="3" s="1"/>
  <c r="L40" i="3" s="1"/>
  <c r="H40" i="3" s="1"/>
  <c r="I40" i="3"/>
  <c r="R39" i="3"/>
  <c r="N39" i="3"/>
  <c r="O39" i="3" s="1"/>
  <c r="P39" i="3" s="1"/>
  <c r="Q39" i="3" s="1"/>
  <c r="G39" i="3" s="1"/>
  <c r="M39" i="3"/>
  <c r="I39" i="3"/>
  <c r="J39" i="3" s="1"/>
  <c r="K39" i="3" s="1"/>
  <c r="L39" i="3" s="1"/>
  <c r="H39" i="3" s="1"/>
  <c r="R38" i="3"/>
  <c r="N38" i="3"/>
  <c r="O38" i="3" s="1"/>
  <c r="P38" i="3" s="1"/>
  <c r="Q38" i="3" s="1"/>
  <c r="G38" i="3" s="1"/>
  <c r="M38" i="3"/>
  <c r="K38" i="3"/>
  <c r="L38" i="3" s="1"/>
  <c r="H38" i="3" s="1"/>
  <c r="I38" i="3"/>
  <c r="J38" i="3" s="1"/>
  <c r="R37" i="3"/>
  <c r="N37" i="3"/>
  <c r="O37" i="3" s="1"/>
  <c r="P37" i="3" s="1"/>
  <c r="Q37" i="3" s="1"/>
  <c r="G37" i="3" s="1"/>
  <c r="M37" i="3"/>
  <c r="I37" i="3"/>
  <c r="J37" i="3" s="1"/>
  <c r="K37" i="3" s="1"/>
  <c r="L37" i="3" s="1"/>
  <c r="H37" i="3" s="1"/>
  <c r="R36" i="3"/>
  <c r="O36" i="3"/>
  <c r="P36" i="3" s="1"/>
  <c r="Q36" i="3" s="1"/>
  <c r="G36" i="3" s="1"/>
  <c r="N36" i="3"/>
  <c r="M36" i="3"/>
  <c r="I36" i="3"/>
  <c r="J36" i="3" s="1"/>
  <c r="K36" i="3" s="1"/>
  <c r="L36" i="3" s="1"/>
  <c r="H36" i="3" s="1"/>
  <c r="R35" i="3"/>
  <c r="N35" i="3"/>
  <c r="O35" i="3" s="1"/>
  <c r="P35" i="3" s="1"/>
  <c r="Q35" i="3" s="1"/>
  <c r="G35" i="3" s="1"/>
  <c r="M35" i="3"/>
  <c r="I35" i="3"/>
  <c r="J35" i="3" s="1"/>
  <c r="K35" i="3" s="1"/>
  <c r="L35" i="3" s="1"/>
  <c r="H35" i="3" s="1"/>
  <c r="R34" i="3"/>
  <c r="P34" i="3"/>
  <c r="Q34" i="3" s="1"/>
  <c r="G34" i="3" s="1"/>
  <c r="N34" i="3"/>
  <c r="O34" i="3" s="1"/>
  <c r="M34" i="3"/>
  <c r="I34" i="3"/>
  <c r="J34" i="3" s="1"/>
  <c r="K34" i="3" s="1"/>
  <c r="L34" i="3" s="1"/>
  <c r="H34" i="3" s="1"/>
  <c r="R33" i="3"/>
  <c r="N33" i="3"/>
  <c r="O33" i="3" s="1"/>
  <c r="P33" i="3" s="1"/>
  <c r="Q33" i="3" s="1"/>
  <c r="G33" i="3" s="1"/>
  <c r="M33" i="3"/>
  <c r="I33" i="3"/>
  <c r="J33" i="3" s="1"/>
  <c r="K33" i="3" s="1"/>
  <c r="L33" i="3" s="1"/>
  <c r="H33" i="3"/>
  <c r="R32" i="3"/>
  <c r="N32" i="3"/>
  <c r="O32" i="3" s="1"/>
  <c r="P32" i="3" s="1"/>
  <c r="Q32" i="3" s="1"/>
  <c r="G32" i="3" s="1"/>
  <c r="M32" i="3"/>
  <c r="I32" i="3"/>
  <c r="J32" i="3" s="1"/>
  <c r="K32" i="3" s="1"/>
  <c r="L32" i="3" s="1"/>
  <c r="H32" i="3" s="1"/>
  <c r="R31" i="3"/>
  <c r="N31" i="3"/>
  <c r="O31" i="3" s="1"/>
  <c r="P31" i="3" s="1"/>
  <c r="Q31" i="3" s="1"/>
  <c r="G31" i="3" s="1"/>
  <c r="M31" i="3"/>
  <c r="J31" i="3"/>
  <c r="K31" i="3" s="1"/>
  <c r="L31" i="3" s="1"/>
  <c r="H31" i="3" s="1"/>
  <c r="I31" i="3"/>
  <c r="R30" i="3"/>
  <c r="N30" i="3"/>
  <c r="O30" i="3" s="1"/>
  <c r="P30" i="3" s="1"/>
  <c r="Q30" i="3" s="1"/>
  <c r="G30" i="3" s="1"/>
  <c r="M30" i="3"/>
  <c r="I30" i="3"/>
  <c r="J30" i="3" s="1"/>
  <c r="K30" i="3" s="1"/>
  <c r="L30" i="3" s="1"/>
  <c r="H30" i="3" s="1"/>
  <c r="R29" i="3"/>
  <c r="N29" i="3"/>
  <c r="O29" i="3" s="1"/>
  <c r="P29" i="3" s="1"/>
  <c r="Q29" i="3" s="1"/>
  <c r="G29" i="3" s="1"/>
  <c r="M29" i="3"/>
  <c r="K29" i="3"/>
  <c r="L29" i="3" s="1"/>
  <c r="H29" i="3" s="1"/>
  <c r="I29" i="3"/>
  <c r="J29" i="3" s="1"/>
  <c r="R28" i="3"/>
  <c r="N28" i="3"/>
  <c r="O28" i="3" s="1"/>
  <c r="P28" i="3" s="1"/>
  <c r="Q28" i="3" s="1"/>
  <c r="G28" i="3" s="1"/>
  <c r="M28" i="3"/>
  <c r="I28" i="3"/>
  <c r="J28" i="3" s="1"/>
  <c r="K28" i="3" s="1"/>
  <c r="L28" i="3" s="1"/>
  <c r="H28" i="3" s="1"/>
  <c r="R27" i="3"/>
  <c r="O27" i="3"/>
  <c r="P27" i="3" s="1"/>
  <c r="Q27" i="3" s="1"/>
  <c r="G27" i="3" s="1"/>
  <c r="N27" i="3"/>
  <c r="M27" i="3"/>
  <c r="I27" i="3"/>
  <c r="J27" i="3" s="1"/>
  <c r="K27" i="3" s="1"/>
  <c r="L27" i="3" s="1"/>
  <c r="H27" i="3" s="1"/>
  <c r="R26" i="3"/>
  <c r="N26" i="3"/>
  <c r="O26" i="3" s="1"/>
  <c r="P26" i="3" s="1"/>
  <c r="Q26" i="3" s="1"/>
  <c r="G26" i="3" s="1"/>
  <c r="M26" i="3"/>
  <c r="I26" i="3"/>
  <c r="J26" i="3" s="1"/>
  <c r="K26" i="3" s="1"/>
  <c r="L26" i="3" s="1"/>
  <c r="H26" i="3" s="1"/>
  <c r="R25" i="3"/>
  <c r="P25" i="3"/>
  <c r="Q25" i="3" s="1"/>
  <c r="G25" i="3" s="1"/>
  <c r="N25" i="3"/>
  <c r="O25" i="3" s="1"/>
  <c r="M25" i="3"/>
  <c r="I25" i="3"/>
  <c r="J25" i="3" s="1"/>
  <c r="K25" i="3" s="1"/>
  <c r="L25" i="3" s="1"/>
  <c r="H25" i="3" s="1"/>
  <c r="R24" i="3"/>
  <c r="N24" i="3"/>
  <c r="O24" i="3" s="1"/>
  <c r="P24" i="3" s="1"/>
  <c r="Q24" i="3" s="1"/>
  <c r="G24" i="3" s="1"/>
  <c r="M24" i="3"/>
  <c r="I24" i="3"/>
  <c r="J24" i="3" s="1"/>
  <c r="K24" i="3" s="1"/>
  <c r="L24" i="3" s="1"/>
  <c r="H24" i="3"/>
  <c r="R23" i="3"/>
  <c r="N23" i="3"/>
  <c r="O23" i="3" s="1"/>
  <c r="P23" i="3" s="1"/>
  <c r="Q23" i="3" s="1"/>
  <c r="G23" i="3" s="1"/>
  <c r="M23" i="3"/>
  <c r="I23" i="3"/>
  <c r="J23" i="3" s="1"/>
  <c r="K23" i="3" s="1"/>
  <c r="L23" i="3" s="1"/>
  <c r="H23" i="3" s="1"/>
  <c r="R22" i="3"/>
  <c r="N22" i="3"/>
  <c r="O22" i="3" s="1"/>
  <c r="P22" i="3" s="1"/>
  <c r="Q22" i="3" s="1"/>
  <c r="G22" i="3" s="1"/>
  <c r="M22" i="3"/>
  <c r="J22" i="3"/>
  <c r="K22" i="3" s="1"/>
  <c r="L22" i="3" s="1"/>
  <c r="H22" i="3" s="1"/>
  <c r="I22" i="3"/>
  <c r="R21" i="3"/>
  <c r="N21" i="3"/>
  <c r="O21" i="3" s="1"/>
  <c r="P21" i="3" s="1"/>
  <c r="Q21" i="3" s="1"/>
  <c r="G21" i="3" s="1"/>
  <c r="M21" i="3"/>
  <c r="I21" i="3"/>
  <c r="J21" i="3" s="1"/>
  <c r="K21" i="3" s="1"/>
  <c r="L21" i="3" s="1"/>
  <c r="H21" i="3" s="1"/>
  <c r="R20" i="3"/>
  <c r="N20" i="3"/>
  <c r="O20" i="3" s="1"/>
  <c r="P20" i="3" s="1"/>
  <c r="Q20" i="3" s="1"/>
  <c r="G20" i="3" s="1"/>
  <c r="M20" i="3"/>
  <c r="K20" i="3"/>
  <c r="L20" i="3" s="1"/>
  <c r="H20" i="3" s="1"/>
  <c r="I20" i="3"/>
  <c r="J20" i="3" s="1"/>
  <c r="R19" i="3"/>
  <c r="N19" i="3"/>
  <c r="O19" i="3" s="1"/>
  <c r="P19" i="3" s="1"/>
  <c r="Q19" i="3" s="1"/>
  <c r="G19" i="3" s="1"/>
  <c r="M19" i="3"/>
  <c r="I19" i="3"/>
  <c r="J19" i="3" s="1"/>
  <c r="K19" i="3" s="1"/>
  <c r="L19" i="3" s="1"/>
  <c r="H19" i="3" s="1"/>
  <c r="R18" i="3"/>
  <c r="O18" i="3"/>
  <c r="P18" i="3" s="1"/>
  <c r="Q18" i="3" s="1"/>
  <c r="G18" i="3" s="1"/>
  <c r="N18" i="3"/>
  <c r="M18" i="3"/>
  <c r="J18" i="3"/>
  <c r="K18" i="3" s="1"/>
  <c r="L18" i="3" s="1"/>
  <c r="H18" i="3" s="1"/>
  <c r="I18" i="3"/>
  <c r="R17" i="3"/>
  <c r="O17" i="3"/>
  <c r="P17" i="3" s="1"/>
  <c r="Q17" i="3" s="1"/>
  <c r="G17" i="3" s="1"/>
  <c r="N17" i="3"/>
  <c r="M17" i="3"/>
  <c r="I17" i="3"/>
  <c r="J17" i="3" s="1"/>
  <c r="K17" i="3" s="1"/>
  <c r="L17" i="3" s="1"/>
  <c r="H17" i="3"/>
  <c r="R16" i="3"/>
  <c r="N16" i="3"/>
  <c r="O16" i="3" s="1"/>
  <c r="P16" i="3" s="1"/>
  <c r="Q16" i="3" s="1"/>
  <c r="M16" i="3"/>
  <c r="J16" i="3"/>
  <c r="K16" i="3" s="1"/>
  <c r="L16" i="3" s="1"/>
  <c r="H16" i="3" s="1"/>
  <c r="I16" i="3"/>
  <c r="R15" i="3"/>
  <c r="O15" i="3"/>
  <c r="P15" i="3" s="1"/>
  <c r="Q15" i="3" s="1"/>
  <c r="N15" i="3"/>
  <c r="M15" i="3"/>
  <c r="I15" i="3"/>
  <c r="J15" i="3" s="1"/>
  <c r="K15" i="3" s="1"/>
  <c r="L15" i="3" s="1"/>
  <c r="R14" i="3"/>
  <c r="N14" i="3"/>
  <c r="O14" i="3" s="1"/>
  <c r="P14" i="3" s="1"/>
  <c r="Q14" i="3" s="1"/>
  <c r="G14" i="3" s="1"/>
  <c r="M14" i="3"/>
  <c r="I14" i="3"/>
  <c r="J14" i="3" s="1"/>
  <c r="K14" i="3" s="1"/>
  <c r="L14" i="3" s="1"/>
  <c r="R13" i="3"/>
  <c r="N13" i="3"/>
  <c r="O13" i="3" s="1"/>
  <c r="P13" i="3" s="1"/>
  <c r="Q13" i="3" s="1"/>
  <c r="G13" i="3" s="1"/>
  <c r="M13" i="3"/>
  <c r="I13" i="3"/>
  <c r="J13" i="3" s="1"/>
  <c r="K13" i="3" s="1"/>
  <c r="L13" i="3" s="1"/>
  <c r="H13" i="3" s="1"/>
  <c r="R12" i="3"/>
  <c r="N12" i="3"/>
  <c r="O12" i="3" s="1"/>
  <c r="P12" i="3" s="1"/>
  <c r="Q12" i="3" s="1"/>
  <c r="M12" i="3"/>
  <c r="I12" i="3"/>
  <c r="J12" i="3" s="1"/>
  <c r="K12" i="3" s="1"/>
  <c r="L12" i="3" s="1"/>
  <c r="H12" i="3" s="1"/>
  <c r="R11" i="3"/>
  <c r="N11" i="3"/>
  <c r="O11" i="3" s="1"/>
  <c r="P11" i="3" s="1"/>
  <c r="Q11" i="3" s="1"/>
  <c r="G11" i="3" s="1"/>
  <c r="M11" i="3"/>
  <c r="J11" i="3"/>
  <c r="K11" i="3" s="1"/>
  <c r="L11" i="3" s="1"/>
  <c r="H11" i="3" s="1"/>
  <c r="I11" i="3"/>
  <c r="R10" i="3"/>
  <c r="N10" i="3"/>
  <c r="O10" i="3" s="1"/>
  <c r="P10" i="3" s="1"/>
  <c r="Q10" i="3" s="1"/>
  <c r="M10" i="3"/>
  <c r="I10" i="3"/>
  <c r="J10" i="3" s="1"/>
  <c r="K10" i="3" s="1"/>
  <c r="L10" i="3" s="1"/>
  <c r="H10" i="3" s="1"/>
  <c r="R9" i="3"/>
  <c r="N9" i="3"/>
  <c r="O9" i="3" s="1"/>
  <c r="P9" i="3" s="1"/>
  <c r="Q9" i="3" s="1"/>
  <c r="M9" i="3"/>
  <c r="I9" i="3"/>
  <c r="J9" i="3" s="1"/>
  <c r="K9" i="3" s="1"/>
  <c r="L9" i="3" s="1"/>
  <c r="H9" i="3" s="1"/>
  <c r="R8" i="3"/>
  <c r="N8" i="3"/>
  <c r="O8" i="3" s="1"/>
  <c r="M8" i="3"/>
  <c r="I8" i="3"/>
  <c r="J8" i="3" s="1"/>
  <c r="K8" i="3" s="1"/>
  <c r="L8" i="3" s="1"/>
  <c r="H8" i="3" s="1"/>
  <c r="R7" i="3"/>
  <c r="N7" i="3"/>
  <c r="O7" i="3" s="1"/>
  <c r="P7" i="3" s="1"/>
  <c r="Q7" i="3" s="1"/>
  <c r="M7" i="3"/>
  <c r="I7" i="3"/>
  <c r="J7" i="3" s="1"/>
  <c r="K7" i="3" s="1"/>
  <c r="L7" i="3" s="1"/>
  <c r="H7" i="3" s="1"/>
  <c r="R6" i="3"/>
  <c r="N6" i="3"/>
  <c r="O6" i="3" s="1"/>
  <c r="P6" i="3" s="1"/>
  <c r="Q6" i="3" s="1"/>
  <c r="G6" i="3" s="1"/>
  <c r="M6" i="3"/>
  <c r="K6" i="3"/>
  <c r="L6" i="3" s="1"/>
  <c r="H6" i="3" s="1"/>
  <c r="I6" i="3"/>
  <c r="J6" i="3" s="1"/>
  <c r="R5" i="3"/>
  <c r="N5" i="3"/>
  <c r="O5" i="3" s="1"/>
  <c r="P5" i="3" s="1"/>
  <c r="Q5" i="3" s="1"/>
  <c r="M5" i="3"/>
  <c r="I5" i="3"/>
  <c r="J5" i="3" s="1"/>
  <c r="R4" i="3"/>
  <c r="N4" i="3"/>
  <c r="O4" i="3" s="1"/>
  <c r="P4" i="3" s="1"/>
  <c r="M4" i="3"/>
  <c r="J4" i="3"/>
  <c r="K4" i="3" s="1"/>
  <c r="I4" i="3"/>
  <c r="F1" i="3"/>
  <c r="E1" i="3"/>
  <c r="D1" i="3"/>
  <c r="C1" i="3"/>
  <c r="B1" i="3"/>
  <c r="G4" i="5" l="1"/>
  <c r="Q3" i="5"/>
  <c r="G3" i="5" s="1"/>
  <c r="L4" i="5"/>
  <c r="K3" i="5"/>
  <c r="P3" i="4"/>
  <c r="Q4" i="4"/>
  <c r="L4" i="4"/>
  <c r="K3" i="4"/>
  <c r="G16" i="3"/>
  <c r="G1" i="3"/>
  <c r="I3" i="3"/>
  <c r="H15" i="3"/>
  <c r="G15" i="3"/>
  <c r="H14" i="3"/>
  <c r="G12" i="3"/>
  <c r="G10" i="3"/>
  <c r="M3" i="3"/>
  <c r="G9" i="3"/>
  <c r="G5" i="3"/>
  <c r="Q4" i="3"/>
  <c r="P8" i="3"/>
  <c r="Q8" i="3" s="1"/>
  <c r="G8" i="3" s="1"/>
  <c r="O3" i="3"/>
  <c r="L4" i="3"/>
  <c r="J3" i="3"/>
  <c r="R3" i="3"/>
  <c r="N3" i="3"/>
  <c r="K5" i="3"/>
  <c r="L5" i="3" s="1"/>
  <c r="H5" i="3" s="1"/>
  <c r="G7" i="3"/>
  <c r="R51" i="2"/>
  <c r="N51" i="2"/>
  <c r="O51" i="2" s="1"/>
  <c r="P51" i="2" s="1"/>
  <c r="Q51" i="2" s="1"/>
  <c r="G51" i="2" s="1"/>
  <c r="M51" i="2"/>
  <c r="I51" i="2"/>
  <c r="J51" i="2" s="1"/>
  <c r="K51" i="2" s="1"/>
  <c r="L51" i="2" s="1"/>
  <c r="H51" i="2"/>
  <c r="R50" i="2"/>
  <c r="N50" i="2"/>
  <c r="O50" i="2" s="1"/>
  <c r="P50" i="2" s="1"/>
  <c r="Q50" i="2" s="1"/>
  <c r="G50" i="2" s="1"/>
  <c r="M50" i="2"/>
  <c r="K50" i="2"/>
  <c r="L50" i="2" s="1"/>
  <c r="H50" i="2" s="1"/>
  <c r="I50" i="2"/>
  <c r="J50" i="2" s="1"/>
  <c r="R49" i="2"/>
  <c r="N49" i="2"/>
  <c r="O49" i="2" s="1"/>
  <c r="P49" i="2" s="1"/>
  <c r="Q49" i="2" s="1"/>
  <c r="G49" i="2" s="1"/>
  <c r="M49" i="2"/>
  <c r="I49" i="2"/>
  <c r="J49" i="2" s="1"/>
  <c r="K49" i="2" s="1"/>
  <c r="L49" i="2" s="1"/>
  <c r="H49" i="2" s="1"/>
  <c r="R48" i="2"/>
  <c r="P48" i="2"/>
  <c r="Q48" i="2" s="1"/>
  <c r="G48" i="2" s="1"/>
  <c r="O48" i="2"/>
  <c r="N48" i="2"/>
  <c r="M48" i="2"/>
  <c r="I48" i="2"/>
  <c r="J48" i="2" s="1"/>
  <c r="K48" i="2" s="1"/>
  <c r="L48" i="2" s="1"/>
  <c r="H48" i="2"/>
  <c r="R47" i="2"/>
  <c r="N47" i="2"/>
  <c r="O47" i="2" s="1"/>
  <c r="P47" i="2" s="1"/>
  <c r="Q47" i="2" s="1"/>
  <c r="G47" i="2" s="1"/>
  <c r="M47" i="2"/>
  <c r="I47" i="2"/>
  <c r="J47" i="2" s="1"/>
  <c r="K47" i="2" s="1"/>
  <c r="L47" i="2" s="1"/>
  <c r="H47" i="2" s="1"/>
  <c r="R46" i="2"/>
  <c r="Q46" i="2"/>
  <c r="G46" i="2" s="1"/>
  <c r="P46" i="2"/>
  <c r="N46" i="2"/>
  <c r="O46" i="2" s="1"/>
  <c r="M46" i="2"/>
  <c r="I46" i="2"/>
  <c r="J46" i="2" s="1"/>
  <c r="K46" i="2" s="1"/>
  <c r="L46" i="2" s="1"/>
  <c r="H46" i="2" s="1"/>
  <c r="R45" i="2"/>
  <c r="N45" i="2"/>
  <c r="O45" i="2" s="1"/>
  <c r="P45" i="2" s="1"/>
  <c r="Q45" i="2" s="1"/>
  <c r="G45" i="2" s="1"/>
  <c r="M45" i="2"/>
  <c r="I45" i="2"/>
  <c r="J45" i="2" s="1"/>
  <c r="K45" i="2" s="1"/>
  <c r="L45" i="2" s="1"/>
  <c r="H45" i="2" s="1"/>
  <c r="R44" i="2"/>
  <c r="N44" i="2"/>
  <c r="O44" i="2" s="1"/>
  <c r="P44" i="2" s="1"/>
  <c r="Q44" i="2" s="1"/>
  <c r="G44" i="2" s="1"/>
  <c r="M44" i="2"/>
  <c r="I44" i="2"/>
  <c r="J44" i="2" s="1"/>
  <c r="K44" i="2" s="1"/>
  <c r="L44" i="2" s="1"/>
  <c r="H44" i="2" s="1"/>
  <c r="R43" i="2"/>
  <c r="N43" i="2"/>
  <c r="O43" i="2" s="1"/>
  <c r="P43" i="2" s="1"/>
  <c r="Q43" i="2" s="1"/>
  <c r="G43" i="2" s="1"/>
  <c r="M43" i="2"/>
  <c r="K43" i="2"/>
  <c r="L43" i="2" s="1"/>
  <c r="H43" i="2" s="1"/>
  <c r="J43" i="2"/>
  <c r="I43" i="2"/>
  <c r="R42" i="2"/>
  <c r="N42" i="2"/>
  <c r="O42" i="2" s="1"/>
  <c r="P42" i="2" s="1"/>
  <c r="Q42" i="2" s="1"/>
  <c r="G42" i="2" s="1"/>
  <c r="M42" i="2"/>
  <c r="I42" i="2"/>
  <c r="J42" i="2" s="1"/>
  <c r="K42" i="2" s="1"/>
  <c r="L42" i="2" s="1"/>
  <c r="H42" i="2"/>
  <c r="R41" i="2"/>
  <c r="N41" i="2"/>
  <c r="O41" i="2" s="1"/>
  <c r="P41" i="2" s="1"/>
  <c r="Q41" i="2" s="1"/>
  <c r="G41" i="2" s="1"/>
  <c r="M41" i="2"/>
  <c r="K41" i="2"/>
  <c r="L41" i="2" s="1"/>
  <c r="H41" i="2" s="1"/>
  <c r="I41" i="2"/>
  <c r="J41" i="2" s="1"/>
  <c r="R40" i="2"/>
  <c r="N40" i="2"/>
  <c r="O40" i="2" s="1"/>
  <c r="P40" i="2" s="1"/>
  <c r="Q40" i="2" s="1"/>
  <c r="G40" i="2" s="1"/>
  <c r="M40" i="2"/>
  <c r="I40" i="2"/>
  <c r="J40" i="2" s="1"/>
  <c r="K40" i="2" s="1"/>
  <c r="L40" i="2" s="1"/>
  <c r="H40" i="2" s="1"/>
  <c r="R39" i="2"/>
  <c r="P39" i="2"/>
  <c r="Q39" i="2" s="1"/>
  <c r="G39" i="2" s="1"/>
  <c r="O39" i="2"/>
  <c r="N39" i="2"/>
  <c r="M39" i="2"/>
  <c r="I39" i="2"/>
  <c r="J39" i="2" s="1"/>
  <c r="K39" i="2" s="1"/>
  <c r="L39" i="2" s="1"/>
  <c r="H39" i="2"/>
  <c r="R38" i="2"/>
  <c r="N38" i="2"/>
  <c r="O38" i="2" s="1"/>
  <c r="P38" i="2" s="1"/>
  <c r="Q38" i="2" s="1"/>
  <c r="G38" i="2" s="1"/>
  <c r="M38" i="2"/>
  <c r="I38" i="2"/>
  <c r="J38" i="2" s="1"/>
  <c r="K38" i="2" s="1"/>
  <c r="L38" i="2" s="1"/>
  <c r="H38" i="2" s="1"/>
  <c r="R37" i="2"/>
  <c r="P37" i="2"/>
  <c r="Q37" i="2" s="1"/>
  <c r="G37" i="2" s="1"/>
  <c r="N37" i="2"/>
  <c r="O37" i="2" s="1"/>
  <c r="M37" i="2"/>
  <c r="I37" i="2"/>
  <c r="J37" i="2" s="1"/>
  <c r="K37" i="2" s="1"/>
  <c r="L37" i="2" s="1"/>
  <c r="H37" i="2" s="1"/>
  <c r="R36" i="2"/>
  <c r="N36" i="2"/>
  <c r="O36" i="2" s="1"/>
  <c r="P36" i="2" s="1"/>
  <c r="Q36" i="2" s="1"/>
  <c r="G36" i="2" s="1"/>
  <c r="M36" i="2"/>
  <c r="I36" i="2"/>
  <c r="J36" i="2" s="1"/>
  <c r="K36" i="2" s="1"/>
  <c r="L36" i="2" s="1"/>
  <c r="H36" i="2"/>
  <c r="R35" i="2"/>
  <c r="N35" i="2"/>
  <c r="O35" i="2" s="1"/>
  <c r="P35" i="2" s="1"/>
  <c r="Q35" i="2" s="1"/>
  <c r="G35" i="2" s="1"/>
  <c r="M35" i="2"/>
  <c r="I35" i="2"/>
  <c r="J35" i="2" s="1"/>
  <c r="K35" i="2" s="1"/>
  <c r="L35" i="2" s="1"/>
  <c r="H35" i="2" s="1"/>
  <c r="R34" i="2"/>
  <c r="N34" i="2"/>
  <c r="O34" i="2" s="1"/>
  <c r="P34" i="2" s="1"/>
  <c r="Q34" i="2" s="1"/>
  <c r="G34" i="2" s="1"/>
  <c r="M34" i="2"/>
  <c r="J34" i="2"/>
  <c r="K34" i="2" s="1"/>
  <c r="L34" i="2" s="1"/>
  <c r="H34" i="2" s="1"/>
  <c r="I34" i="2"/>
  <c r="R33" i="2"/>
  <c r="N33" i="2"/>
  <c r="O33" i="2" s="1"/>
  <c r="P33" i="2" s="1"/>
  <c r="Q33" i="2" s="1"/>
  <c r="G33" i="2" s="1"/>
  <c r="M33" i="2"/>
  <c r="I33" i="2"/>
  <c r="J33" i="2" s="1"/>
  <c r="K33" i="2" s="1"/>
  <c r="L33" i="2" s="1"/>
  <c r="H33" i="2"/>
  <c r="R32" i="2"/>
  <c r="N32" i="2"/>
  <c r="O32" i="2" s="1"/>
  <c r="P32" i="2" s="1"/>
  <c r="Q32" i="2" s="1"/>
  <c r="G32" i="2" s="1"/>
  <c r="M32" i="2"/>
  <c r="K32" i="2"/>
  <c r="L32" i="2" s="1"/>
  <c r="H32" i="2" s="1"/>
  <c r="I32" i="2"/>
  <c r="J32" i="2" s="1"/>
  <c r="R31" i="2"/>
  <c r="N31" i="2"/>
  <c r="O31" i="2" s="1"/>
  <c r="P31" i="2" s="1"/>
  <c r="Q31" i="2" s="1"/>
  <c r="G31" i="2" s="1"/>
  <c r="M31" i="2"/>
  <c r="I31" i="2"/>
  <c r="J31" i="2" s="1"/>
  <c r="K31" i="2" s="1"/>
  <c r="L31" i="2" s="1"/>
  <c r="H31" i="2" s="1"/>
  <c r="R30" i="2"/>
  <c r="O30" i="2"/>
  <c r="P30" i="2" s="1"/>
  <c r="Q30" i="2" s="1"/>
  <c r="G30" i="2" s="1"/>
  <c r="N30" i="2"/>
  <c r="M30" i="2"/>
  <c r="I30" i="2"/>
  <c r="J30" i="2" s="1"/>
  <c r="K30" i="2" s="1"/>
  <c r="L30" i="2" s="1"/>
  <c r="H30" i="2"/>
  <c r="R29" i="2"/>
  <c r="N29" i="2"/>
  <c r="O29" i="2" s="1"/>
  <c r="P29" i="2" s="1"/>
  <c r="Q29" i="2" s="1"/>
  <c r="G29" i="2" s="1"/>
  <c r="M29" i="2"/>
  <c r="I29" i="2"/>
  <c r="J29" i="2" s="1"/>
  <c r="K29" i="2" s="1"/>
  <c r="L29" i="2" s="1"/>
  <c r="H29" i="2" s="1"/>
  <c r="R28" i="2"/>
  <c r="P28" i="2"/>
  <c r="Q28" i="2" s="1"/>
  <c r="G28" i="2" s="1"/>
  <c r="N28" i="2"/>
  <c r="O28" i="2" s="1"/>
  <c r="M28" i="2"/>
  <c r="I28" i="2"/>
  <c r="J28" i="2" s="1"/>
  <c r="K28" i="2" s="1"/>
  <c r="L28" i="2" s="1"/>
  <c r="H28" i="2" s="1"/>
  <c r="R27" i="2"/>
  <c r="N27" i="2"/>
  <c r="O27" i="2" s="1"/>
  <c r="P27" i="2" s="1"/>
  <c r="Q27" i="2" s="1"/>
  <c r="G27" i="2" s="1"/>
  <c r="M27" i="2"/>
  <c r="I27" i="2"/>
  <c r="J27" i="2" s="1"/>
  <c r="K27" i="2" s="1"/>
  <c r="L27" i="2" s="1"/>
  <c r="H27" i="2"/>
  <c r="R26" i="2"/>
  <c r="N26" i="2"/>
  <c r="O26" i="2" s="1"/>
  <c r="P26" i="2" s="1"/>
  <c r="Q26" i="2" s="1"/>
  <c r="G26" i="2" s="1"/>
  <c r="M26" i="2"/>
  <c r="I26" i="2"/>
  <c r="J26" i="2" s="1"/>
  <c r="K26" i="2" s="1"/>
  <c r="L26" i="2" s="1"/>
  <c r="H26" i="2" s="1"/>
  <c r="R25" i="2"/>
  <c r="N25" i="2"/>
  <c r="O25" i="2" s="1"/>
  <c r="P25" i="2" s="1"/>
  <c r="Q25" i="2" s="1"/>
  <c r="G25" i="2" s="1"/>
  <c r="M25" i="2"/>
  <c r="J25" i="2"/>
  <c r="K25" i="2" s="1"/>
  <c r="L25" i="2" s="1"/>
  <c r="H25" i="2" s="1"/>
  <c r="I25" i="2"/>
  <c r="R24" i="2"/>
  <c r="N24" i="2"/>
  <c r="O24" i="2" s="1"/>
  <c r="P24" i="2" s="1"/>
  <c r="Q24" i="2" s="1"/>
  <c r="G24" i="2" s="1"/>
  <c r="M24" i="2"/>
  <c r="I24" i="2"/>
  <c r="J24" i="2" s="1"/>
  <c r="K24" i="2" s="1"/>
  <c r="L24" i="2" s="1"/>
  <c r="H24" i="2"/>
  <c r="R23" i="2"/>
  <c r="N23" i="2"/>
  <c r="O23" i="2" s="1"/>
  <c r="P23" i="2" s="1"/>
  <c r="Q23" i="2" s="1"/>
  <c r="G23" i="2" s="1"/>
  <c r="M23" i="2"/>
  <c r="K23" i="2"/>
  <c r="L23" i="2" s="1"/>
  <c r="H23" i="2" s="1"/>
  <c r="I23" i="2"/>
  <c r="J23" i="2" s="1"/>
  <c r="R22" i="2"/>
  <c r="N22" i="2"/>
  <c r="O22" i="2" s="1"/>
  <c r="P22" i="2" s="1"/>
  <c r="Q22" i="2" s="1"/>
  <c r="G22" i="2" s="1"/>
  <c r="M22" i="2"/>
  <c r="I22" i="2"/>
  <c r="J22" i="2" s="1"/>
  <c r="K22" i="2" s="1"/>
  <c r="L22" i="2" s="1"/>
  <c r="H22" i="2" s="1"/>
  <c r="R21" i="2"/>
  <c r="O21" i="2"/>
  <c r="P21" i="2" s="1"/>
  <c r="Q21" i="2" s="1"/>
  <c r="G21" i="2" s="1"/>
  <c r="N21" i="2"/>
  <c r="M21" i="2"/>
  <c r="I21" i="2"/>
  <c r="J21" i="2" s="1"/>
  <c r="K21" i="2" s="1"/>
  <c r="L21" i="2" s="1"/>
  <c r="H21" i="2"/>
  <c r="R20" i="2"/>
  <c r="N20" i="2"/>
  <c r="O20" i="2" s="1"/>
  <c r="P20" i="2" s="1"/>
  <c r="Q20" i="2" s="1"/>
  <c r="M20" i="2"/>
  <c r="I20" i="2"/>
  <c r="J20" i="2" s="1"/>
  <c r="K20" i="2" s="1"/>
  <c r="L20" i="2" s="1"/>
  <c r="H20" i="2" s="1"/>
  <c r="R19" i="2"/>
  <c r="N19" i="2"/>
  <c r="O19" i="2" s="1"/>
  <c r="P19" i="2" s="1"/>
  <c r="Q19" i="2" s="1"/>
  <c r="G19" i="2" s="1"/>
  <c r="M19" i="2"/>
  <c r="I19" i="2"/>
  <c r="J19" i="2" s="1"/>
  <c r="K19" i="2" s="1"/>
  <c r="L19" i="2" s="1"/>
  <c r="R18" i="2"/>
  <c r="N18" i="2"/>
  <c r="O18" i="2" s="1"/>
  <c r="P18" i="2" s="1"/>
  <c r="Q18" i="2" s="1"/>
  <c r="M18" i="2"/>
  <c r="I18" i="2"/>
  <c r="J18" i="2" s="1"/>
  <c r="K18" i="2" s="1"/>
  <c r="L18" i="2" s="1"/>
  <c r="H18" i="2" s="1"/>
  <c r="R17" i="2"/>
  <c r="N17" i="2"/>
  <c r="O17" i="2" s="1"/>
  <c r="P17" i="2" s="1"/>
  <c r="Q17" i="2" s="1"/>
  <c r="M17" i="2"/>
  <c r="I17" i="2"/>
  <c r="J17" i="2" s="1"/>
  <c r="K17" i="2" s="1"/>
  <c r="L17" i="2" s="1"/>
  <c r="H17" i="2" s="1"/>
  <c r="R16" i="2"/>
  <c r="N16" i="2"/>
  <c r="O16" i="2" s="1"/>
  <c r="P16" i="2" s="1"/>
  <c r="Q16" i="2" s="1"/>
  <c r="M16" i="2"/>
  <c r="I16" i="2"/>
  <c r="J16" i="2" s="1"/>
  <c r="K16" i="2" s="1"/>
  <c r="L16" i="2" s="1"/>
  <c r="H16" i="2" s="1"/>
  <c r="R15" i="2"/>
  <c r="N15" i="2"/>
  <c r="O15" i="2" s="1"/>
  <c r="P15" i="2" s="1"/>
  <c r="Q15" i="2" s="1"/>
  <c r="M15" i="2"/>
  <c r="H15" i="2" s="1"/>
  <c r="I15" i="2"/>
  <c r="J15" i="2" s="1"/>
  <c r="K15" i="2" s="1"/>
  <c r="L15" i="2" s="1"/>
  <c r="R14" i="2"/>
  <c r="N14" i="2"/>
  <c r="O14" i="2" s="1"/>
  <c r="P14" i="2" s="1"/>
  <c r="Q14" i="2" s="1"/>
  <c r="M14" i="2"/>
  <c r="I14" i="2"/>
  <c r="J14" i="2" s="1"/>
  <c r="K14" i="2" s="1"/>
  <c r="L14" i="2" s="1"/>
  <c r="H14" i="2" s="1"/>
  <c r="R13" i="2"/>
  <c r="N13" i="2"/>
  <c r="O13" i="2" s="1"/>
  <c r="P13" i="2" s="1"/>
  <c r="Q13" i="2" s="1"/>
  <c r="M13" i="2"/>
  <c r="I13" i="2"/>
  <c r="J13" i="2" s="1"/>
  <c r="K13" i="2" s="1"/>
  <c r="L13" i="2" s="1"/>
  <c r="H13" i="2" s="1"/>
  <c r="R12" i="2"/>
  <c r="N12" i="2"/>
  <c r="O12" i="2" s="1"/>
  <c r="P12" i="2" s="1"/>
  <c r="Q12" i="2" s="1"/>
  <c r="M12" i="2"/>
  <c r="I12" i="2"/>
  <c r="J12" i="2" s="1"/>
  <c r="K12" i="2" s="1"/>
  <c r="L12" i="2" s="1"/>
  <c r="H12" i="2" s="1"/>
  <c r="R11" i="2"/>
  <c r="N11" i="2"/>
  <c r="O11" i="2" s="1"/>
  <c r="P11" i="2" s="1"/>
  <c r="Q11" i="2" s="1"/>
  <c r="G11" i="2" s="1"/>
  <c r="M11" i="2"/>
  <c r="I11" i="2"/>
  <c r="J11" i="2" s="1"/>
  <c r="K11" i="2" s="1"/>
  <c r="L11" i="2" s="1"/>
  <c r="H11" i="2"/>
  <c r="R10" i="2"/>
  <c r="N10" i="2"/>
  <c r="O10" i="2" s="1"/>
  <c r="P10" i="2" s="1"/>
  <c r="Q10" i="2" s="1"/>
  <c r="M10" i="2"/>
  <c r="I10" i="2"/>
  <c r="J10" i="2" s="1"/>
  <c r="K10" i="2" s="1"/>
  <c r="L10" i="2" s="1"/>
  <c r="R9" i="2"/>
  <c r="N9" i="2"/>
  <c r="O9" i="2" s="1"/>
  <c r="P9" i="2" s="1"/>
  <c r="Q9" i="2" s="1"/>
  <c r="M9" i="2"/>
  <c r="I9" i="2"/>
  <c r="J9" i="2" s="1"/>
  <c r="K9" i="2" s="1"/>
  <c r="L9" i="2" s="1"/>
  <c r="R8" i="2"/>
  <c r="N8" i="2"/>
  <c r="O8" i="2" s="1"/>
  <c r="P8" i="2" s="1"/>
  <c r="Q8" i="2" s="1"/>
  <c r="M8" i="2"/>
  <c r="J8" i="2"/>
  <c r="K8" i="2" s="1"/>
  <c r="L8" i="2" s="1"/>
  <c r="H8" i="2" s="1"/>
  <c r="I8" i="2"/>
  <c r="R7" i="2"/>
  <c r="N7" i="2"/>
  <c r="O7" i="2" s="1"/>
  <c r="P7" i="2" s="1"/>
  <c r="Q7" i="2" s="1"/>
  <c r="G7" i="2" s="1"/>
  <c r="M7" i="2"/>
  <c r="I7" i="2"/>
  <c r="J7" i="2" s="1"/>
  <c r="K7" i="2" s="1"/>
  <c r="L7" i="2" s="1"/>
  <c r="H7" i="2" s="1"/>
  <c r="R6" i="2"/>
  <c r="N6" i="2"/>
  <c r="O6" i="2" s="1"/>
  <c r="P6" i="2" s="1"/>
  <c r="Q6" i="2" s="1"/>
  <c r="M6" i="2"/>
  <c r="J6" i="2"/>
  <c r="K6" i="2" s="1"/>
  <c r="L6" i="2" s="1"/>
  <c r="H6" i="2" s="1"/>
  <c r="I6" i="2"/>
  <c r="R5" i="2"/>
  <c r="N5" i="2"/>
  <c r="O5" i="2" s="1"/>
  <c r="P5" i="2" s="1"/>
  <c r="Q5" i="2" s="1"/>
  <c r="G5" i="2" s="1"/>
  <c r="M5" i="2"/>
  <c r="H5" i="2" s="1"/>
  <c r="I5" i="2"/>
  <c r="J5" i="2" s="1"/>
  <c r="K5" i="2" s="1"/>
  <c r="L5" i="2" s="1"/>
  <c r="R4" i="2"/>
  <c r="N4" i="2"/>
  <c r="M4" i="2"/>
  <c r="I4" i="2"/>
  <c r="J4" i="2" s="1"/>
  <c r="F1" i="2"/>
  <c r="E1" i="2"/>
  <c r="D1" i="2"/>
  <c r="C1" i="2"/>
  <c r="B1" i="2"/>
  <c r="R51" i="1"/>
  <c r="N51" i="1"/>
  <c r="O51" i="1" s="1"/>
  <c r="P51" i="1" s="1"/>
  <c r="Q51" i="1" s="1"/>
  <c r="G51" i="1" s="1"/>
  <c r="M51" i="1"/>
  <c r="I51" i="1"/>
  <c r="J51" i="1" s="1"/>
  <c r="K51" i="1" s="1"/>
  <c r="L51" i="1" s="1"/>
  <c r="H51" i="1" s="1"/>
  <c r="R50" i="1"/>
  <c r="N50" i="1"/>
  <c r="O50" i="1" s="1"/>
  <c r="P50" i="1" s="1"/>
  <c r="Q50" i="1" s="1"/>
  <c r="G50" i="1" s="1"/>
  <c r="M50" i="1"/>
  <c r="I50" i="1"/>
  <c r="J50" i="1" s="1"/>
  <c r="K50" i="1" s="1"/>
  <c r="L50" i="1" s="1"/>
  <c r="H50" i="1"/>
  <c r="R49" i="1"/>
  <c r="N49" i="1"/>
  <c r="O49" i="1" s="1"/>
  <c r="P49" i="1" s="1"/>
  <c r="Q49" i="1" s="1"/>
  <c r="G49" i="1" s="1"/>
  <c r="M49" i="1"/>
  <c r="J49" i="1"/>
  <c r="K49" i="1" s="1"/>
  <c r="L49" i="1" s="1"/>
  <c r="H49" i="1" s="1"/>
  <c r="I49" i="1"/>
  <c r="R48" i="1"/>
  <c r="O48" i="1"/>
  <c r="P48" i="1" s="1"/>
  <c r="Q48" i="1" s="1"/>
  <c r="G48" i="1" s="1"/>
  <c r="N48" i="1"/>
  <c r="M48" i="1"/>
  <c r="I48" i="1"/>
  <c r="J48" i="1" s="1"/>
  <c r="K48" i="1" s="1"/>
  <c r="L48" i="1" s="1"/>
  <c r="H48" i="1" s="1"/>
  <c r="R47" i="1"/>
  <c r="N47" i="1"/>
  <c r="O47" i="1" s="1"/>
  <c r="P47" i="1" s="1"/>
  <c r="Q47" i="1" s="1"/>
  <c r="G47" i="1" s="1"/>
  <c r="M47" i="1"/>
  <c r="J47" i="1"/>
  <c r="K47" i="1" s="1"/>
  <c r="L47" i="1" s="1"/>
  <c r="H47" i="1" s="1"/>
  <c r="I47" i="1"/>
  <c r="R46" i="1"/>
  <c r="P46" i="1"/>
  <c r="Q46" i="1" s="1"/>
  <c r="G46" i="1" s="1"/>
  <c r="O46" i="1"/>
  <c r="N46" i="1"/>
  <c r="M46" i="1"/>
  <c r="I46" i="1"/>
  <c r="J46" i="1" s="1"/>
  <c r="K46" i="1" s="1"/>
  <c r="L46" i="1" s="1"/>
  <c r="H46" i="1"/>
  <c r="R45" i="1"/>
  <c r="N45" i="1"/>
  <c r="O45" i="1" s="1"/>
  <c r="P45" i="1" s="1"/>
  <c r="Q45" i="1" s="1"/>
  <c r="G45" i="1" s="1"/>
  <c r="M45" i="1"/>
  <c r="I45" i="1"/>
  <c r="J45" i="1" s="1"/>
  <c r="K45" i="1" s="1"/>
  <c r="L45" i="1" s="1"/>
  <c r="H45" i="1" s="1"/>
  <c r="R44" i="1"/>
  <c r="N44" i="1"/>
  <c r="O44" i="1" s="1"/>
  <c r="P44" i="1" s="1"/>
  <c r="Q44" i="1" s="1"/>
  <c r="G44" i="1" s="1"/>
  <c r="M44" i="1"/>
  <c r="J44" i="1"/>
  <c r="K44" i="1" s="1"/>
  <c r="L44" i="1" s="1"/>
  <c r="H44" i="1" s="1"/>
  <c r="I44" i="1"/>
  <c r="R43" i="1"/>
  <c r="P43" i="1"/>
  <c r="Q43" i="1" s="1"/>
  <c r="G43" i="1" s="1"/>
  <c r="O43" i="1"/>
  <c r="N43" i="1"/>
  <c r="M43" i="1"/>
  <c r="I43" i="1"/>
  <c r="J43" i="1" s="1"/>
  <c r="K43" i="1" s="1"/>
  <c r="L43" i="1" s="1"/>
  <c r="H43" i="1"/>
  <c r="R42" i="1"/>
  <c r="N42" i="1"/>
  <c r="O42" i="1" s="1"/>
  <c r="P42" i="1" s="1"/>
  <c r="Q42" i="1" s="1"/>
  <c r="G42" i="1" s="1"/>
  <c r="M42" i="1"/>
  <c r="I42" i="1"/>
  <c r="J42" i="1" s="1"/>
  <c r="K42" i="1" s="1"/>
  <c r="L42" i="1" s="1"/>
  <c r="H42" i="1" s="1"/>
  <c r="R41" i="1"/>
  <c r="N41" i="1"/>
  <c r="O41" i="1" s="1"/>
  <c r="P41" i="1" s="1"/>
  <c r="Q41" i="1" s="1"/>
  <c r="G41" i="1" s="1"/>
  <c r="M41" i="1"/>
  <c r="J41" i="1"/>
  <c r="K41" i="1" s="1"/>
  <c r="L41" i="1" s="1"/>
  <c r="H41" i="1" s="1"/>
  <c r="I41" i="1"/>
  <c r="R40" i="1"/>
  <c r="P40" i="1"/>
  <c r="Q40" i="1" s="1"/>
  <c r="G40" i="1" s="1"/>
  <c r="O40" i="1"/>
  <c r="N40" i="1"/>
  <c r="M40" i="1"/>
  <c r="I40" i="1"/>
  <c r="J40" i="1" s="1"/>
  <c r="K40" i="1" s="1"/>
  <c r="L40" i="1" s="1"/>
  <c r="H40" i="1"/>
  <c r="R39" i="1"/>
  <c r="N39" i="1"/>
  <c r="O39" i="1" s="1"/>
  <c r="P39" i="1" s="1"/>
  <c r="Q39" i="1" s="1"/>
  <c r="G39" i="1" s="1"/>
  <c r="M39" i="1"/>
  <c r="I39" i="1"/>
  <c r="J39" i="1" s="1"/>
  <c r="K39" i="1" s="1"/>
  <c r="L39" i="1" s="1"/>
  <c r="H39" i="1" s="1"/>
  <c r="R38" i="1"/>
  <c r="N38" i="1"/>
  <c r="O38" i="1" s="1"/>
  <c r="P38" i="1" s="1"/>
  <c r="Q38" i="1" s="1"/>
  <c r="G38" i="1" s="1"/>
  <c r="M38" i="1"/>
  <c r="J38" i="1"/>
  <c r="K38" i="1" s="1"/>
  <c r="L38" i="1" s="1"/>
  <c r="H38" i="1" s="1"/>
  <c r="I38" i="1"/>
  <c r="R37" i="1"/>
  <c r="P37" i="1"/>
  <c r="Q37" i="1" s="1"/>
  <c r="G37" i="1" s="1"/>
  <c r="O37" i="1"/>
  <c r="N37" i="1"/>
  <c r="M37" i="1"/>
  <c r="I37" i="1"/>
  <c r="J37" i="1" s="1"/>
  <c r="K37" i="1" s="1"/>
  <c r="L37" i="1" s="1"/>
  <c r="H37" i="1"/>
  <c r="R36" i="1"/>
  <c r="N36" i="1"/>
  <c r="O36" i="1" s="1"/>
  <c r="P36" i="1" s="1"/>
  <c r="Q36" i="1" s="1"/>
  <c r="G36" i="1" s="1"/>
  <c r="M36" i="1"/>
  <c r="I36" i="1"/>
  <c r="J36" i="1" s="1"/>
  <c r="K36" i="1" s="1"/>
  <c r="L36" i="1" s="1"/>
  <c r="H36" i="1" s="1"/>
  <c r="R35" i="1"/>
  <c r="N35" i="1"/>
  <c r="O35" i="1" s="1"/>
  <c r="P35" i="1" s="1"/>
  <c r="Q35" i="1" s="1"/>
  <c r="G35" i="1" s="1"/>
  <c r="M35" i="1"/>
  <c r="J35" i="1"/>
  <c r="K35" i="1" s="1"/>
  <c r="L35" i="1" s="1"/>
  <c r="H35" i="1" s="1"/>
  <c r="I35" i="1"/>
  <c r="R34" i="1"/>
  <c r="P34" i="1"/>
  <c r="Q34" i="1" s="1"/>
  <c r="G34" i="1" s="1"/>
  <c r="O34" i="1"/>
  <c r="N34" i="1"/>
  <c r="M34" i="1"/>
  <c r="I34" i="1"/>
  <c r="J34" i="1" s="1"/>
  <c r="K34" i="1" s="1"/>
  <c r="L34" i="1" s="1"/>
  <c r="H34" i="1"/>
  <c r="R33" i="1"/>
  <c r="N33" i="1"/>
  <c r="O33" i="1" s="1"/>
  <c r="P33" i="1" s="1"/>
  <c r="Q33" i="1" s="1"/>
  <c r="G33" i="1" s="1"/>
  <c r="M33" i="1"/>
  <c r="I33" i="1"/>
  <c r="J33" i="1" s="1"/>
  <c r="K33" i="1" s="1"/>
  <c r="L33" i="1" s="1"/>
  <c r="H33" i="1" s="1"/>
  <c r="R32" i="1"/>
  <c r="N32" i="1"/>
  <c r="O32" i="1" s="1"/>
  <c r="P32" i="1" s="1"/>
  <c r="Q32" i="1" s="1"/>
  <c r="G32" i="1" s="1"/>
  <c r="M32" i="1"/>
  <c r="J32" i="1"/>
  <c r="K32" i="1" s="1"/>
  <c r="L32" i="1" s="1"/>
  <c r="H32" i="1" s="1"/>
  <c r="I32" i="1"/>
  <c r="R31" i="1"/>
  <c r="P31" i="1"/>
  <c r="Q31" i="1" s="1"/>
  <c r="G31" i="1" s="1"/>
  <c r="O31" i="1"/>
  <c r="N31" i="1"/>
  <c r="M31" i="1"/>
  <c r="I31" i="1"/>
  <c r="J31" i="1" s="1"/>
  <c r="K31" i="1" s="1"/>
  <c r="L31" i="1" s="1"/>
  <c r="H31" i="1"/>
  <c r="R30" i="1"/>
  <c r="N30" i="1"/>
  <c r="O30" i="1" s="1"/>
  <c r="P30" i="1" s="1"/>
  <c r="Q30" i="1" s="1"/>
  <c r="G30" i="1" s="1"/>
  <c r="M30" i="1"/>
  <c r="I30" i="1"/>
  <c r="J30" i="1" s="1"/>
  <c r="K30" i="1" s="1"/>
  <c r="L30" i="1" s="1"/>
  <c r="H30" i="1" s="1"/>
  <c r="R29" i="1"/>
  <c r="N29" i="1"/>
  <c r="O29" i="1" s="1"/>
  <c r="P29" i="1" s="1"/>
  <c r="Q29" i="1" s="1"/>
  <c r="G29" i="1" s="1"/>
  <c r="M29" i="1"/>
  <c r="J29" i="1"/>
  <c r="K29" i="1" s="1"/>
  <c r="L29" i="1" s="1"/>
  <c r="H29" i="1" s="1"/>
  <c r="I29" i="1"/>
  <c r="R28" i="1"/>
  <c r="P28" i="1"/>
  <c r="Q28" i="1" s="1"/>
  <c r="G28" i="1" s="1"/>
  <c r="O28" i="1"/>
  <c r="N28" i="1"/>
  <c r="M28" i="1"/>
  <c r="I28" i="1"/>
  <c r="J28" i="1" s="1"/>
  <c r="K28" i="1" s="1"/>
  <c r="L28" i="1" s="1"/>
  <c r="H28" i="1"/>
  <c r="R27" i="1"/>
  <c r="N27" i="1"/>
  <c r="O27" i="1" s="1"/>
  <c r="P27" i="1" s="1"/>
  <c r="Q27" i="1" s="1"/>
  <c r="G27" i="1" s="1"/>
  <c r="M27" i="1"/>
  <c r="I27" i="1"/>
  <c r="J27" i="1" s="1"/>
  <c r="K27" i="1" s="1"/>
  <c r="L27" i="1" s="1"/>
  <c r="H27" i="1" s="1"/>
  <c r="R26" i="1"/>
  <c r="N26" i="1"/>
  <c r="O26" i="1" s="1"/>
  <c r="P26" i="1" s="1"/>
  <c r="Q26" i="1" s="1"/>
  <c r="G26" i="1" s="1"/>
  <c r="M26" i="1"/>
  <c r="J26" i="1"/>
  <c r="K26" i="1" s="1"/>
  <c r="L26" i="1" s="1"/>
  <c r="H26" i="1" s="1"/>
  <c r="I26" i="1"/>
  <c r="R25" i="1"/>
  <c r="P25" i="1"/>
  <c r="Q25" i="1" s="1"/>
  <c r="G25" i="1" s="1"/>
  <c r="O25" i="1"/>
  <c r="N25" i="1"/>
  <c r="M25" i="1"/>
  <c r="I25" i="1"/>
  <c r="J25" i="1" s="1"/>
  <c r="K25" i="1" s="1"/>
  <c r="L25" i="1" s="1"/>
  <c r="H25" i="1"/>
  <c r="R24" i="1"/>
  <c r="N24" i="1"/>
  <c r="O24" i="1" s="1"/>
  <c r="P24" i="1" s="1"/>
  <c r="Q24" i="1" s="1"/>
  <c r="G24" i="1" s="1"/>
  <c r="M24" i="1"/>
  <c r="I24" i="1"/>
  <c r="J24" i="1" s="1"/>
  <c r="K24" i="1" s="1"/>
  <c r="L24" i="1" s="1"/>
  <c r="H24" i="1" s="1"/>
  <c r="R23" i="1"/>
  <c r="N23" i="1"/>
  <c r="O23" i="1" s="1"/>
  <c r="P23" i="1" s="1"/>
  <c r="Q23" i="1" s="1"/>
  <c r="G23" i="1" s="1"/>
  <c r="M23" i="1"/>
  <c r="J23" i="1"/>
  <c r="K23" i="1" s="1"/>
  <c r="L23" i="1" s="1"/>
  <c r="H23" i="1" s="1"/>
  <c r="I23" i="1"/>
  <c r="R22" i="1"/>
  <c r="P22" i="1"/>
  <c r="Q22" i="1" s="1"/>
  <c r="G22" i="1" s="1"/>
  <c r="O22" i="1"/>
  <c r="N22" i="1"/>
  <c r="M22" i="1"/>
  <c r="I22" i="1"/>
  <c r="J22" i="1" s="1"/>
  <c r="K22" i="1" s="1"/>
  <c r="L22" i="1" s="1"/>
  <c r="H22" i="1"/>
  <c r="R21" i="1"/>
  <c r="N21" i="1"/>
  <c r="O21" i="1" s="1"/>
  <c r="P21" i="1" s="1"/>
  <c r="Q21" i="1" s="1"/>
  <c r="G21" i="1" s="1"/>
  <c r="M21" i="1"/>
  <c r="I21" i="1"/>
  <c r="J21" i="1" s="1"/>
  <c r="K21" i="1" s="1"/>
  <c r="L21" i="1" s="1"/>
  <c r="H21" i="1"/>
  <c r="R20" i="1"/>
  <c r="Q20" i="1"/>
  <c r="G20" i="1" s="1"/>
  <c r="N20" i="1"/>
  <c r="O20" i="1" s="1"/>
  <c r="P20" i="1" s="1"/>
  <c r="M20" i="1"/>
  <c r="J20" i="1"/>
  <c r="K20" i="1" s="1"/>
  <c r="L20" i="1" s="1"/>
  <c r="H20" i="1" s="1"/>
  <c r="I20" i="1"/>
  <c r="R19" i="1"/>
  <c r="O19" i="1"/>
  <c r="P19" i="1" s="1"/>
  <c r="Q19" i="1" s="1"/>
  <c r="G19" i="1" s="1"/>
  <c r="N19" i="1"/>
  <c r="M19" i="1"/>
  <c r="J19" i="1"/>
  <c r="K19" i="1" s="1"/>
  <c r="L19" i="1" s="1"/>
  <c r="H19" i="1" s="1"/>
  <c r="I19" i="1"/>
  <c r="R18" i="1"/>
  <c r="N18" i="1"/>
  <c r="O18" i="1" s="1"/>
  <c r="P18" i="1" s="1"/>
  <c r="Q18" i="1" s="1"/>
  <c r="G18" i="1" s="1"/>
  <c r="M18" i="1"/>
  <c r="I18" i="1"/>
  <c r="J18" i="1" s="1"/>
  <c r="K18" i="1" s="1"/>
  <c r="L18" i="1" s="1"/>
  <c r="H18" i="1"/>
  <c r="R17" i="1"/>
  <c r="N17" i="1"/>
  <c r="O17" i="1" s="1"/>
  <c r="P17" i="1" s="1"/>
  <c r="Q17" i="1" s="1"/>
  <c r="G17" i="1" s="1"/>
  <c r="M17" i="1"/>
  <c r="J17" i="1"/>
  <c r="K17" i="1" s="1"/>
  <c r="L17" i="1" s="1"/>
  <c r="H17" i="1" s="1"/>
  <c r="I17" i="1"/>
  <c r="R16" i="1"/>
  <c r="P16" i="1"/>
  <c r="Q16" i="1" s="1"/>
  <c r="G16" i="1" s="1"/>
  <c r="O16" i="1"/>
  <c r="N16" i="1"/>
  <c r="M16" i="1"/>
  <c r="I16" i="1"/>
  <c r="J16" i="1" s="1"/>
  <c r="K16" i="1" s="1"/>
  <c r="L16" i="1" s="1"/>
  <c r="H16" i="1" s="1"/>
  <c r="R15" i="1"/>
  <c r="N15" i="1"/>
  <c r="O15" i="1" s="1"/>
  <c r="P15" i="1" s="1"/>
  <c r="Q15" i="1" s="1"/>
  <c r="G15" i="1" s="1"/>
  <c r="M15" i="1"/>
  <c r="I15" i="1"/>
  <c r="J15" i="1" s="1"/>
  <c r="K15" i="1" s="1"/>
  <c r="L15" i="1" s="1"/>
  <c r="H15" i="1"/>
  <c r="R14" i="1"/>
  <c r="N14" i="1"/>
  <c r="O14" i="1" s="1"/>
  <c r="P14" i="1" s="1"/>
  <c r="Q14" i="1" s="1"/>
  <c r="G14" i="1" s="1"/>
  <c r="M14" i="1"/>
  <c r="J14" i="1"/>
  <c r="K14" i="1" s="1"/>
  <c r="L14" i="1" s="1"/>
  <c r="H14" i="1" s="1"/>
  <c r="I14" i="1"/>
  <c r="R13" i="1"/>
  <c r="O13" i="1"/>
  <c r="P13" i="1" s="1"/>
  <c r="Q13" i="1" s="1"/>
  <c r="G13" i="1" s="1"/>
  <c r="N13" i="1"/>
  <c r="M13" i="1"/>
  <c r="I13" i="1"/>
  <c r="J13" i="1" s="1"/>
  <c r="K13" i="1" s="1"/>
  <c r="L13" i="1" s="1"/>
  <c r="H13" i="1" s="1"/>
  <c r="R12" i="1"/>
  <c r="O12" i="1"/>
  <c r="P12" i="1" s="1"/>
  <c r="Q12" i="1" s="1"/>
  <c r="G12" i="1" s="1"/>
  <c r="N12" i="1"/>
  <c r="M12" i="1"/>
  <c r="I12" i="1"/>
  <c r="J12" i="1" s="1"/>
  <c r="K12" i="1" s="1"/>
  <c r="L12" i="1" s="1"/>
  <c r="H12" i="1"/>
  <c r="R11" i="1"/>
  <c r="Q11" i="1"/>
  <c r="G11" i="1" s="1"/>
  <c r="N11" i="1"/>
  <c r="O11" i="1" s="1"/>
  <c r="P11" i="1" s="1"/>
  <c r="M11" i="1"/>
  <c r="J11" i="1"/>
  <c r="K11" i="1" s="1"/>
  <c r="L11" i="1" s="1"/>
  <c r="H11" i="1" s="1"/>
  <c r="I11" i="1"/>
  <c r="R10" i="1"/>
  <c r="O10" i="1"/>
  <c r="P10" i="1" s="1"/>
  <c r="Q10" i="1" s="1"/>
  <c r="G10" i="1" s="1"/>
  <c r="N10" i="1"/>
  <c r="M10" i="1"/>
  <c r="J10" i="1"/>
  <c r="K10" i="1" s="1"/>
  <c r="L10" i="1" s="1"/>
  <c r="H10" i="1" s="1"/>
  <c r="I10" i="1"/>
  <c r="R9" i="1"/>
  <c r="N9" i="1"/>
  <c r="O9" i="1" s="1"/>
  <c r="P9" i="1" s="1"/>
  <c r="Q9" i="1" s="1"/>
  <c r="G9" i="1" s="1"/>
  <c r="M9" i="1"/>
  <c r="I9" i="1"/>
  <c r="J9" i="1" s="1"/>
  <c r="K9" i="1" s="1"/>
  <c r="L9" i="1" s="1"/>
  <c r="H9" i="1"/>
  <c r="R8" i="1"/>
  <c r="N8" i="1"/>
  <c r="O8" i="1" s="1"/>
  <c r="P8" i="1" s="1"/>
  <c r="Q8" i="1" s="1"/>
  <c r="G8" i="1" s="1"/>
  <c r="M8" i="1"/>
  <c r="J8" i="1"/>
  <c r="K8" i="1" s="1"/>
  <c r="L8" i="1" s="1"/>
  <c r="H8" i="1" s="1"/>
  <c r="I8" i="1"/>
  <c r="R7" i="1"/>
  <c r="P7" i="1"/>
  <c r="Q7" i="1" s="1"/>
  <c r="G7" i="1" s="1"/>
  <c r="O7" i="1"/>
  <c r="N7" i="1"/>
  <c r="M7" i="1"/>
  <c r="I7" i="1"/>
  <c r="J7" i="1" s="1"/>
  <c r="K7" i="1" s="1"/>
  <c r="L7" i="1" s="1"/>
  <c r="H7" i="1" s="1"/>
  <c r="R6" i="1"/>
  <c r="N6" i="1"/>
  <c r="N3" i="1" s="1"/>
  <c r="M6" i="1"/>
  <c r="I6" i="1"/>
  <c r="J6" i="1" s="1"/>
  <c r="K6" i="1" s="1"/>
  <c r="L6" i="1" s="1"/>
  <c r="H6" i="1"/>
  <c r="R5" i="1"/>
  <c r="N5" i="1"/>
  <c r="O5" i="1" s="1"/>
  <c r="P5" i="1" s="1"/>
  <c r="Q5" i="1" s="1"/>
  <c r="G5" i="1" s="1"/>
  <c r="M5" i="1"/>
  <c r="J5" i="1"/>
  <c r="K5" i="1" s="1"/>
  <c r="L5" i="1" s="1"/>
  <c r="H5" i="1" s="1"/>
  <c r="I5" i="1"/>
  <c r="R4" i="1"/>
  <c r="O4" i="1"/>
  <c r="P4" i="1" s="1"/>
  <c r="N4" i="1"/>
  <c r="M4" i="1"/>
  <c r="I4" i="1"/>
  <c r="J4" i="1" s="1"/>
  <c r="R3" i="1"/>
  <c r="M3" i="1"/>
  <c r="F1" i="1"/>
  <c r="E1" i="1"/>
  <c r="D1" i="1"/>
  <c r="C1" i="1"/>
  <c r="B1" i="1"/>
  <c r="L3" i="5" l="1"/>
  <c r="H3" i="5" s="1"/>
  <c r="H4" i="5"/>
  <c r="L3" i="4"/>
  <c r="H3" i="4" s="1"/>
  <c r="H4" i="4"/>
  <c r="G4" i="4"/>
  <c r="Q3" i="4"/>
  <c r="G3" i="4" s="1"/>
  <c r="K3" i="3"/>
  <c r="H4" i="3"/>
  <c r="L3" i="3"/>
  <c r="H3" i="3" s="1"/>
  <c r="P3" i="3"/>
  <c r="G4" i="3"/>
  <c r="Q3" i="3"/>
  <c r="G3" i="3" s="1"/>
  <c r="G17" i="2"/>
  <c r="G14" i="2"/>
  <c r="G20" i="2"/>
  <c r="G9" i="2"/>
  <c r="H9" i="2"/>
  <c r="G1" i="2"/>
  <c r="H19" i="2"/>
  <c r="G18" i="2"/>
  <c r="G16" i="2"/>
  <c r="G15" i="2"/>
  <c r="G13" i="2"/>
  <c r="G12" i="2"/>
  <c r="H10" i="2"/>
  <c r="G8" i="2"/>
  <c r="G6" i="2"/>
  <c r="M3" i="2"/>
  <c r="R3" i="2"/>
  <c r="O4" i="2"/>
  <c r="N3" i="2"/>
  <c r="K4" i="2"/>
  <c r="J3" i="2"/>
  <c r="G10" i="2"/>
  <c r="I3" i="2"/>
  <c r="J3" i="1"/>
  <c r="K4" i="1"/>
  <c r="Q4" i="1"/>
  <c r="O6" i="1"/>
  <c r="I3" i="1"/>
  <c r="G1" i="1"/>
  <c r="L4" i="2" l="1"/>
  <c r="K3" i="2"/>
  <c r="P4" i="2"/>
  <c r="O3" i="2"/>
  <c r="P6" i="1"/>
  <c r="O3" i="1"/>
  <c r="G4" i="1"/>
  <c r="L4" i="1"/>
  <c r="K3" i="1"/>
  <c r="Q4" i="2" l="1"/>
  <c r="P3" i="2"/>
  <c r="H4" i="2"/>
  <c r="L3" i="2"/>
  <c r="H3" i="2" s="1"/>
  <c r="L3" i="1"/>
  <c r="H3" i="1" s="1"/>
  <c r="H4" i="1"/>
  <c r="Q6" i="1"/>
  <c r="P3" i="1"/>
  <c r="G4" i="2" l="1"/>
  <c r="Q3" i="2"/>
  <c r="G3" i="2" s="1"/>
  <c r="G6" i="1"/>
  <c r="Q3" i="1"/>
  <c r="G3" i="1" s="1"/>
</calcChain>
</file>

<file path=xl/sharedStrings.xml><?xml version="1.0" encoding="utf-8"?>
<sst xmlns="http://schemas.openxmlformats.org/spreadsheetml/2006/main" count="449" uniqueCount="103">
  <si>
    <t>Produit</t>
  </si>
  <si>
    <t>PA base</t>
  </si>
  <si>
    <t>PA direct</t>
  </si>
  <si>
    <t>PV préco base</t>
  </si>
  <si>
    <t>PV magasin</t>
  </si>
  <si>
    <t>Quantité</t>
  </si>
  <si>
    <t>Marge servi base</t>
  </si>
  <si>
    <t>Marge servi direct</t>
  </si>
  <si>
    <t>Marge servi Direct</t>
  </si>
  <si>
    <t xml:space="preserve">Poireau </t>
  </si>
  <si>
    <t>Poivron rouge</t>
  </si>
  <si>
    <t>Poivron jaune</t>
  </si>
  <si>
    <t>Peche plate</t>
  </si>
  <si>
    <t>F.Chêne brune</t>
  </si>
  <si>
    <t>F.chêne blonde</t>
  </si>
  <si>
    <t>Batavia</t>
  </si>
  <si>
    <t>Pink lady</t>
  </si>
  <si>
    <t>Poivron vert</t>
  </si>
  <si>
    <t>Concombre</t>
  </si>
  <si>
    <t>Peche blanche</t>
  </si>
  <si>
    <t>Avocat</t>
  </si>
  <si>
    <t>Laitue</t>
  </si>
  <si>
    <t>Raisin blanc</t>
  </si>
  <si>
    <t>Courgette</t>
  </si>
  <si>
    <t>Necta J</t>
  </si>
  <si>
    <t>Aubergine</t>
  </si>
  <si>
    <t>Oignon rouge</t>
  </si>
  <si>
    <t>avocat</t>
  </si>
  <si>
    <t>F.chêne brune</t>
  </si>
  <si>
    <t>Kiwi vert</t>
  </si>
  <si>
    <t>Necta B</t>
  </si>
  <si>
    <t>Tomate grappe</t>
  </si>
  <si>
    <t>Peche jaune</t>
  </si>
  <si>
    <t>Raisin exo 300g</t>
  </si>
  <si>
    <t>Endive vrac</t>
  </si>
  <si>
    <t>Poireau</t>
  </si>
  <si>
    <t>Peche B</t>
  </si>
  <si>
    <t>Radis rose</t>
  </si>
  <si>
    <t>F.chene rouge</t>
  </si>
  <si>
    <t>Laitue blonde</t>
  </si>
  <si>
    <t>F.chene blonde</t>
  </si>
  <si>
    <t>Kiwi</t>
  </si>
  <si>
    <t>poireau</t>
  </si>
  <si>
    <t>echalotte</t>
  </si>
  <si>
    <t>oignon rouge</t>
  </si>
  <si>
    <t>concombre</t>
  </si>
  <si>
    <t>poivron rouge</t>
  </si>
  <si>
    <t>feuille de chene rouge</t>
  </si>
  <si>
    <t>peche plate</t>
  </si>
  <si>
    <t>aubergine</t>
  </si>
  <si>
    <t>Feuille de chene bde</t>
  </si>
  <si>
    <t>poivron vert</t>
  </si>
  <si>
    <t>batavia</t>
  </si>
  <si>
    <t>kiwi</t>
  </si>
  <si>
    <t>courgette</t>
  </si>
  <si>
    <t>ECHALOTTE</t>
  </si>
  <si>
    <t>OIGNON RGE</t>
  </si>
  <si>
    <t>POIVRON RGE</t>
  </si>
  <si>
    <t>POIVRON JNE</t>
  </si>
  <si>
    <t>PERSIL PLAT BOTTE</t>
  </si>
  <si>
    <t>Feuille de chene Bde</t>
  </si>
  <si>
    <t>feuille de chene Rge</t>
  </si>
  <si>
    <t>Peche jne</t>
  </si>
  <si>
    <t>pink lady</t>
  </si>
  <si>
    <t>peche Bl</t>
  </si>
  <si>
    <t>Povron jaune</t>
  </si>
  <si>
    <t>feuille de chene bde</t>
  </si>
  <si>
    <t>Pinklady</t>
  </si>
  <si>
    <t>Kiwi V</t>
  </si>
  <si>
    <t>Kiwi Jne</t>
  </si>
  <si>
    <t>cotelée rouge</t>
  </si>
  <si>
    <t>Sucrine</t>
  </si>
  <si>
    <t>feuille de chene Bde</t>
  </si>
  <si>
    <t>Cotelée Noire</t>
  </si>
  <si>
    <t>Peche Blanche</t>
  </si>
  <si>
    <t>Peche Jne</t>
  </si>
  <si>
    <t>brocolis</t>
  </si>
  <si>
    <t>oignon rge</t>
  </si>
  <si>
    <t>Poivron jne</t>
  </si>
  <si>
    <t>feuille de chene rge</t>
  </si>
  <si>
    <t>pinklady</t>
  </si>
  <si>
    <t>laitue</t>
  </si>
  <si>
    <t>Poireau nv 20/30 10K c1 FR</t>
  </si>
  <si>
    <t>Oignon rge 60/80 5K c1 FR</t>
  </si>
  <si>
    <t>Poivron rouge 80/100 5K c1 NL</t>
  </si>
  <si>
    <t>Peche plate bl A 67/73mm ~5K c1 ES</t>
  </si>
  <si>
    <t>Aubergine 300/500 5K c1 SLC</t>
  </si>
  <si>
    <t>Sal feuille chene bld 12P c1 SLC</t>
  </si>
  <si>
    <t>Sal feuille chene rg 12P c1 SLC</t>
  </si>
  <si>
    <t>Poivron vert 80/100 plt 5K c1 SLC</t>
  </si>
  <si>
    <t>Concombre 300/400 12P c1 FR</t>
  </si>
  <si>
    <t>Sal batavia blonde 12P c1 SLC1</t>
  </si>
  <si>
    <t>Pom pinklady 190/220 1r ~7K c1 CL°</t>
  </si>
  <si>
    <t>Sal laitue blonde 12P c1 SLC1</t>
  </si>
  <si>
    <t>feuillede chene rge</t>
  </si>
  <si>
    <t>kiwi Jne</t>
  </si>
  <si>
    <t>poivron jaune</t>
  </si>
  <si>
    <t>Feuille de chene rge</t>
  </si>
  <si>
    <t>Kiwi jne</t>
  </si>
  <si>
    <t>Poivron Rge</t>
  </si>
  <si>
    <t>Poivron Jne</t>
  </si>
  <si>
    <t>Poivron vrt</t>
  </si>
  <si>
    <t>Auberigne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</si>
</sst>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39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B34" sqref="A1:XFD1048576"/>
    </sheetView>
  </sheetViews>
  <sheetFormatPr baseColWidth="10" defaultRowHeight="15" x14ac:dyDescent="0.25"/>
  <sheetData>
    <row r="1" spans="1:18" x14ac:dyDescent="0.25">
      <c r="A1" s="1"/>
      <c r="B1" s="2" t="e">
        <f>AVERAGE(B4:B38)</f>
        <v>#DIV/0!</v>
      </c>
      <c r="C1" s="2" t="e">
        <f>AVERAGE(C4:C30)</f>
        <v>#DIV/0!</v>
      </c>
      <c r="D1" s="2" t="e">
        <f>AVERAGE(D4:D60)</f>
        <v>#DIV/0!</v>
      </c>
      <c r="E1" s="2" t="e">
        <f>AVERAGE(E4:E60)</f>
        <v>#DIV/0!</v>
      </c>
      <c r="F1" s="1">
        <f>SUM(F4:F50)</f>
        <v>0</v>
      </c>
      <c r="G1" s="1" t="e">
        <f>D1-E1</f>
        <v>#DIV/0!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 t="e">
        <f>Q3/R3</f>
        <v>#DIV/0!</v>
      </c>
      <c r="H3" s="2" t="e">
        <f>L3/M3</f>
        <v>#DIV/0!</v>
      </c>
      <c r="I3" s="4">
        <f t="shared" ref="I3:R3" si="0">SUM(I4:I50)</f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</row>
    <row r="4" spans="1:18" x14ac:dyDescent="0.25">
      <c r="G4" s="1" t="e">
        <f>Q4/R4</f>
        <v>#DIV/0!</v>
      </c>
      <c r="H4" s="1" t="e">
        <f>L4/M4</f>
        <v>#DIV/0!</v>
      </c>
      <c r="I4">
        <f t="shared" ref="I4:I51" si="1">E4/1.055</f>
        <v>0</v>
      </c>
      <c r="J4">
        <f t="shared" ref="J4:J51" si="2">I4-C4</f>
        <v>0</v>
      </c>
      <c r="K4">
        <f t="shared" ref="K4:K51" si="3">J4*F4</f>
        <v>0</v>
      </c>
      <c r="L4">
        <f>K4*100</f>
        <v>0</v>
      </c>
      <c r="M4">
        <f t="shared" ref="M4:M51" si="4">E4*F4</f>
        <v>0</v>
      </c>
      <c r="N4">
        <f>D4/1.055</f>
        <v>0</v>
      </c>
      <c r="O4">
        <f>N4-B4</f>
        <v>0</v>
      </c>
      <c r="P4">
        <f>O4*F4</f>
        <v>0</v>
      </c>
      <c r="Q4">
        <f>P4*100</f>
        <v>0</v>
      </c>
      <c r="R4">
        <f>D4*F4</f>
        <v>0</v>
      </c>
    </row>
    <row r="5" spans="1:18" x14ac:dyDescent="0.25">
      <c r="G5" s="1" t="e">
        <f t="shared" ref="G5:G51" si="5">Q5/R5</f>
        <v>#DIV/0!</v>
      </c>
      <c r="H5" s="1" t="e">
        <f t="shared" ref="H5:H51" si="6">L5/M5</f>
        <v>#DIV/0!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ref="L5:L51" si="7">K5*100</f>
        <v>0</v>
      </c>
      <c r="M5">
        <f t="shared" si="4"/>
        <v>0</v>
      </c>
      <c r="N5">
        <f t="shared" ref="N5:N51" si="8">D5/1.055</f>
        <v>0</v>
      </c>
      <c r="O5">
        <f t="shared" ref="O5:O51" si="9">N5-B5</f>
        <v>0</v>
      </c>
      <c r="P5">
        <f t="shared" ref="P5:P51" si="10">O5*F5</f>
        <v>0</v>
      </c>
      <c r="Q5">
        <f t="shared" ref="Q5:Q51" si="11">P5*100</f>
        <v>0</v>
      </c>
      <c r="R5">
        <f t="shared" ref="R5:R51" si="12">D5*F5</f>
        <v>0</v>
      </c>
    </row>
    <row r="6" spans="1:18" x14ac:dyDescent="0.25">
      <c r="G6" s="1" t="e">
        <f t="shared" si="5"/>
        <v>#DIV/0!</v>
      </c>
      <c r="H6" s="1" t="e">
        <f t="shared" si="6"/>
        <v>#DIV/0!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7"/>
        <v>0</v>
      </c>
      <c r="M6">
        <f t="shared" si="4"/>
        <v>0</v>
      </c>
      <c r="N6">
        <f t="shared" si="8"/>
        <v>0</v>
      </c>
      <c r="O6">
        <f t="shared" si="9"/>
        <v>0</v>
      </c>
      <c r="P6">
        <f t="shared" si="10"/>
        <v>0</v>
      </c>
      <c r="Q6">
        <f t="shared" si="11"/>
        <v>0</v>
      </c>
      <c r="R6">
        <f t="shared" si="12"/>
        <v>0</v>
      </c>
    </row>
    <row r="7" spans="1:18" x14ac:dyDescent="0.25">
      <c r="G7" s="1" t="e">
        <f t="shared" si="5"/>
        <v>#DIV/0!</v>
      </c>
      <c r="H7" s="1" t="e">
        <f t="shared" si="6"/>
        <v>#DIV/0!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7"/>
        <v>0</v>
      </c>
      <c r="M7">
        <f t="shared" si="4"/>
        <v>0</v>
      </c>
      <c r="N7">
        <f t="shared" si="8"/>
        <v>0</v>
      </c>
      <c r="O7">
        <f t="shared" si="9"/>
        <v>0</v>
      </c>
      <c r="P7">
        <f t="shared" si="10"/>
        <v>0</v>
      </c>
      <c r="Q7">
        <f t="shared" si="11"/>
        <v>0</v>
      </c>
      <c r="R7">
        <f t="shared" si="12"/>
        <v>0</v>
      </c>
    </row>
    <row r="8" spans="1:18" x14ac:dyDescent="0.25">
      <c r="G8" s="1" t="e">
        <f t="shared" si="5"/>
        <v>#DIV/0!</v>
      </c>
      <c r="H8" s="1" t="e">
        <f t="shared" si="6"/>
        <v>#DIV/0!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7"/>
        <v>0</v>
      </c>
      <c r="M8">
        <f t="shared" si="4"/>
        <v>0</v>
      </c>
      <c r="N8">
        <f t="shared" si="8"/>
        <v>0</v>
      </c>
      <c r="O8">
        <f t="shared" si="9"/>
        <v>0</v>
      </c>
      <c r="P8">
        <f t="shared" si="10"/>
        <v>0</v>
      </c>
      <c r="Q8">
        <f t="shared" si="11"/>
        <v>0</v>
      </c>
      <c r="R8">
        <f t="shared" si="12"/>
        <v>0</v>
      </c>
    </row>
    <row r="9" spans="1:18" x14ac:dyDescent="0.25">
      <c r="G9" s="1" t="e">
        <f t="shared" si="5"/>
        <v>#DIV/0!</v>
      </c>
      <c r="H9" s="1" t="e">
        <f t="shared" si="6"/>
        <v>#DIV/0!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7"/>
        <v>0</v>
      </c>
      <c r="M9">
        <f t="shared" si="4"/>
        <v>0</v>
      </c>
      <c r="N9">
        <f t="shared" si="8"/>
        <v>0</v>
      </c>
      <c r="O9">
        <f t="shared" si="9"/>
        <v>0</v>
      </c>
      <c r="P9">
        <f t="shared" si="10"/>
        <v>0</v>
      </c>
      <c r="Q9">
        <f t="shared" si="11"/>
        <v>0</v>
      </c>
      <c r="R9">
        <f t="shared" si="12"/>
        <v>0</v>
      </c>
    </row>
    <row r="10" spans="1:18" x14ac:dyDescent="0.25">
      <c r="G10" s="1" t="e">
        <f t="shared" si="5"/>
        <v>#DIV/0!</v>
      </c>
      <c r="H10" s="1" t="e">
        <f t="shared" si="6"/>
        <v>#DIV/0!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7"/>
        <v>0</v>
      </c>
      <c r="M10">
        <f t="shared" si="4"/>
        <v>0</v>
      </c>
      <c r="N10">
        <f t="shared" si="8"/>
        <v>0</v>
      </c>
      <c r="O10">
        <f t="shared" si="9"/>
        <v>0</v>
      </c>
      <c r="P10">
        <f t="shared" si="10"/>
        <v>0</v>
      </c>
      <c r="Q10">
        <f t="shared" si="11"/>
        <v>0</v>
      </c>
      <c r="R10">
        <f t="shared" si="12"/>
        <v>0</v>
      </c>
    </row>
    <row r="11" spans="1:18" x14ac:dyDescent="0.25">
      <c r="G11" s="1" t="e">
        <f t="shared" si="5"/>
        <v>#DIV/0!</v>
      </c>
      <c r="H11" s="1" t="e">
        <f t="shared" si="6"/>
        <v>#DIV/0!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7"/>
        <v>0</v>
      </c>
      <c r="M11">
        <f t="shared" si="4"/>
        <v>0</v>
      </c>
      <c r="N11">
        <f t="shared" si="8"/>
        <v>0</v>
      </c>
      <c r="O11">
        <f t="shared" si="9"/>
        <v>0</v>
      </c>
      <c r="P11">
        <f t="shared" si="10"/>
        <v>0</v>
      </c>
      <c r="Q11">
        <f t="shared" si="11"/>
        <v>0</v>
      </c>
      <c r="R11">
        <f t="shared" si="12"/>
        <v>0</v>
      </c>
    </row>
    <row r="12" spans="1:18" x14ac:dyDescent="0.25">
      <c r="G12" s="1" t="e">
        <f t="shared" si="5"/>
        <v>#DIV/0!</v>
      </c>
      <c r="H12" s="1" t="e">
        <f t="shared" si="6"/>
        <v>#DIV/0!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7"/>
        <v>0</v>
      </c>
      <c r="M12">
        <f t="shared" si="4"/>
        <v>0</v>
      </c>
      <c r="N12">
        <f t="shared" si="8"/>
        <v>0</v>
      </c>
      <c r="O12">
        <f t="shared" si="9"/>
        <v>0</v>
      </c>
      <c r="P12">
        <f t="shared" si="10"/>
        <v>0</v>
      </c>
      <c r="Q12">
        <f t="shared" si="11"/>
        <v>0</v>
      </c>
      <c r="R12">
        <f t="shared" si="12"/>
        <v>0</v>
      </c>
    </row>
    <row r="13" spans="1:18" x14ac:dyDescent="0.25">
      <c r="G13" s="1" t="e">
        <f t="shared" si="5"/>
        <v>#DIV/0!</v>
      </c>
      <c r="H13" s="1" t="e">
        <f t="shared" si="6"/>
        <v>#DIV/0!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7"/>
        <v>0</v>
      </c>
      <c r="M13">
        <f t="shared" si="4"/>
        <v>0</v>
      </c>
      <c r="N13">
        <f t="shared" si="8"/>
        <v>0</v>
      </c>
      <c r="O13">
        <f t="shared" si="9"/>
        <v>0</v>
      </c>
      <c r="P13">
        <f t="shared" si="10"/>
        <v>0</v>
      </c>
      <c r="Q13">
        <f t="shared" si="11"/>
        <v>0</v>
      </c>
      <c r="R13">
        <f t="shared" si="12"/>
        <v>0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947" priority="188" operator="lessThan">
      <formula>$C$4</formula>
    </cfRule>
  </conditionalFormatting>
  <conditionalFormatting sqref="C4">
    <cfRule type="cellIs" dxfId="3946" priority="187" operator="lessThan">
      <formula>$B$4</formula>
    </cfRule>
  </conditionalFormatting>
  <conditionalFormatting sqref="B5">
    <cfRule type="cellIs" dxfId="3945" priority="186" operator="lessThan">
      <formula>$C$5</formula>
    </cfRule>
  </conditionalFormatting>
  <conditionalFormatting sqref="C5">
    <cfRule type="cellIs" dxfId="3944" priority="185" operator="lessThan">
      <formula>$B$5</formula>
    </cfRule>
  </conditionalFormatting>
  <conditionalFormatting sqref="B6">
    <cfRule type="cellIs" dxfId="3943" priority="184" operator="lessThan">
      <formula>$C$6</formula>
    </cfRule>
  </conditionalFormatting>
  <conditionalFormatting sqref="C6">
    <cfRule type="cellIs" dxfId="3942" priority="183" operator="lessThan">
      <formula>$B$6</formula>
    </cfRule>
  </conditionalFormatting>
  <conditionalFormatting sqref="B7">
    <cfRule type="cellIs" dxfId="3941" priority="182" operator="lessThan">
      <formula>$C$7</formula>
    </cfRule>
  </conditionalFormatting>
  <conditionalFormatting sqref="C7">
    <cfRule type="cellIs" dxfId="3940" priority="181" operator="lessThan">
      <formula>$B$7</formula>
    </cfRule>
  </conditionalFormatting>
  <conditionalFormatting sqref="B8">
    <cfRule type="cellIs" dxfId="3939" priority="180" operator="lessThan">
      <formula>$C$8</formula>
    </cfRule>
  </conditionalFormatting>
  <conditionalFormatting sqref="C8">
    <cfRule type="cellIs" dxfId="3938" priority="179" operator="lessThan">
      <formula>$B$8</formula>
    </cfRule>
  </conditionalFormatting>
  <conditionalFormatting sqref="B9">
    <cfRule type="cellIs" dxfId="3937" priority="178" operator="lessThan">
      <formula>$C$9</formula>
    </cfRule>
  </conditionalFormatting>
  <conditionalFormatting sqref="C9">
    <cfRule type="cellIs" dxfId="3936" priority="177" operator="lessThan">
      <formula>$B$9</formula>
    </cfRule>
  </conditionalFormatting>
  <conditionalFormatting sqref="B10">
    <cfRule type="cellIs" dxfId="3935" priority="176" operator="lessThan">
      <formula>$C$10</formula>
    </cfRule>
  </conditionalFormatting>
  <conditionalFormatting sqref="C10">
    <cfRule type="cellIs" dxfId="3934" priority="175" operator="lessThan">
      <formula>$B$10</formula>
    </cfRule>
  </conditionalFormatting>
  <conditionalFormatting sqref="B11">
    <cfRule type="cellIs" dxfId="3933" priority="174" operator="lessThan">
      <formula>$C$11</formula>
    </cfRule>
  </conditionalFormatting>
  <conditionalFormatting sqref="C11">
    <cfRule type="cellIs" dxfId="3932" priority="173" operator="lessThan">
      <formula>$B$11</formula>
    </cfRule>
  </conditionalFormatting>
  <conditionalFormatting sqref="B12">
    <cfRule type="cellIs" dxfId="3931" priority="172" operator="lessThan">
      <formula>$C$12</formula>
    </cfRule>
  </conditionalFormatting>
  <conditionalFormatting sqref="C12">
    <cfRule type="cellIs" dxfId="3930" priority="171" operator="lessThan">
      <formula>$B$12</formula>
    </cfRule>
  </conditionalFormatting>
  <conditionalFormatting sqref="B13">
    <cfRule type="cellIs" dxfId="3929" priority="170" operator="lessThan">
      <formula>$C$13</formula>
    </cfRule>
  </conditionalFormatting>
  <conditionalFormatting sqref="C13">
    <cfRule type="cellIs" dxfId="3928" priority="169" operator="lessThan">
      <formula>$B$13</formula>
    </cfRule>
  </conditionalFormatting>
  <conditionalFormatting sqref="B14">
    <cfRule type="cellIs" dxfId="3927" priority="168" operator="lessThan">
      <formula>$C$14</formula>
    </cfRule>
  </conditionalFormatting>
  <conditionalFormatting sqref="C14">
    <cfRule type="cellIs" dxfId="3926" priority="167" operator="lessThan">
      <formula>$B$14</formula>
    </cfRule>
  </conditionalFormatting>
  <conditionalFormatting sqref="B15">
    <cfRule type="cellIs" dxfId="3925" priority="166" operator="lessThan">
      <formula>$C$15</formula>
    </cfRule>
  </conditionalFormatting>
  <conditionalFormatting sqref="C15">
    <cfRule type="cellIs" dxfId="3924" priority="165" operator="lessThan">
      <formula>$B$15</formula>
    </cfRule>
  </conditionalFormatting>
  <conditionalFormatting sqref="B16">
    <cfRule type="cellIs" dxfId="3923" priority="164" operator="lessThan">
      <formula>$C$16</formula>
    </cfRule>
  </conditionalFormatting>
  <conditionalFormatting sqref="C16">
    <cfRule type="cellIs" dxfId="3922" priority="163" operator="lessThan">
      <formula>$B$16</formula>
    </cfRule>
  </conditionalFormatting>
  <conditionalFormatting sqref="B17">
    <cfRule type="cellIs" dxfId="3921" priority="162" operator="lessThan">
      <formula>$C$17</formula>
    </cfRule>
  </conditionalFormatting>
  <conditionalFormatting sqref="C17">
    <cfRule type="cellIs" dxfId="3920" priority="161" operator="lessThan">
      <formula>$B$17</formula>
    </cfRule>
  </conditionalFormatting>
  <conditionalFormatting sqref="B18">
    <cfRule type="cellIs" dxfId="3919" priority="160" operator="lessThan">
      <formula>$C$18</formula>
    </cfRule>
  </conditionalFormatting>
  <conditionalFormatting sqref="C18">
    <cfRule type="cellIs" dxfId="3918" priority="159" operator="lessThan">
      <formula>$B$18</formula>
    </cfRule>
  </conditionalFormatting>
  <conditionalFormatting sqref="C19">
    <cfRule type="cellIs" dxfId="3917" priority="158" operator="lessThan">
      <formula>$B$19</formula>
    </cfRule>
  </conditionalFormatting>
  <conditionalFormatting sqref="B19">
    <cfRule type="cellIs" dxfId="3916" priority="157" operator="lessThan">
      <formula>$C$19</formula>
    </cfRule>
  </conditionalFormatting>
  <conditionalFormatting sqref="B20">
    <cfRule type="cellIs" dxfId="3915" priority="156" operator="lessThan">
      <formula>$C$20</formula>
    </cfRule>
  </conditionalFormatting>
  <conditionalFormatting sqref="C20">
    <cfRule type="cellIs" dxfId="3914" priority="155" operator="lessThan">
      <formula>$B$20</formula>
    </cfRule>
  </conditionalFormatting>
  <conditionalFormatting sqref="B21">
    <cfRule type="cellIs" dxfId="3913" priority="154" operator="lessThan">
      <formula>$C$21</formula>
    </cfRule>
  </conditionalFormatting>
  <conditionalFormatting sqref="C21">
    <cfRule type="cellIs" dxfId="3912" priority="153" operator="lessThan">
      <formula>$B$21</formula>
    </cfRule>
  </conditionalFormatting>
  <conditionalFormatting sqref="B22">
    <cfRule type="cellIs" dxfId="3911" priority="152" operator="lessThan">
      <formula>$C$22</formula>
    </cfRule>
  </conditionalFormatting>
  <conditionalFormatting sqref="C22">
    <cfRule type="cellIs" dxfId="3910" priority="151" operator="lessThan">
      <formula>$B$22</formula>
    </cfRule>
  </conditionalFormatting>
  <conditionalFormatting sqref="B23">
    <cfRule type="cellIs" dxfId="3909" priority="150" operator="lessThan">
      <formula>$C$23</formula>
    </cfRule>
  </conditionalFormatting>
  <conditionalFormatting sqref="C23">
    <cfRule type="cellIs" dxfId="3908" priority="149" operator="lessThan">
      <formula>$B$23</formula>
    </cfRule>
  </conditionalFormatting>
  <conditionalFormatting sqref="B24">
    <cfRule type="cellIs" dxfId="3907" priority="148" operator="lessThan">
      <formula>$C$24</formula>
    </cfRule>
  </conditionalFormatting>
  <conditionalFormatting sqref="C24">
    <cfRule type="cellIs" dxfId="3906" priority="147" operator="lessThan">
      <formula>$B$24</formula>
    </cfRule>
  </conditionalFormatting>
  <conditionalFormatting sqref="B25">
    <cfRule type="cellIs" dxfId="3905" priority="146" operator="lessThan">
      <formula>$C$25</formula>
    </cfRule>
  </conditionalFormatting>
  <conditionalFormatting sqref="C25">
    <cfRule type="cellIs" dxfId="3904" priority="145" operator="lessThan">
      <formula>$B$25</formula>
    </cfRule>
  </conditionalFormatting>
  <conditionalFormatting sqref="B26">
    <cfRule type="cellIs" dxfId="3903" priority="144" operator="lessThan">
      <formula>$C$26</formula>
    </cfRule>
  </conditionalFormatting>
  <conditionalFormatting sqref="C26">
    <cfRule type="cellIs" dxfId="3902" priority="143" operator="lessThan">
      <formula>$B$26</formula>
    </cfRule>
  </conditionalFormatting>
  <conditionalFormatting sqref="B27">
    <cfRule type="cellIs" dxfId="3901" priority="142" operator="lessThan">
      <formula>$C$27</formula>
    </cfRule>
  </conditionalFormatting>
  <conditionalFormatting sqref="C27">
    <cfRule type="cellIs" dxfId="3900" priority="141" operator="lessThan">
      <formula>$B$27</formula>
    </cfRule>
  </conditionalFormatting>
  <conditionalFormatting sqref="B28">
    <cfRule type="cellIs" dxfId="3899" priority="140" operator="lessThan">
      <formula>$C$28</formula>
    </cfRule>
  </conditionalFormatting>
  <conditionalFormatting sqref="C28">
    <cfRule type="cellIs" dxfId="3898" priority="139" operator="lessThan">
      <formula>$B$28</formula>
    </cfRule>
  </conditionalFormatting>
  <conditionalFormatting sqref="B29">
    <cfRule type="cellIs" dxfId="3897" priority="138" operator="lessThan">
      <formula>$C$29</formula>
    </cfRule>
  </conditionalFormatting>
  <conditionalFormatting sqref="C29">
    <cfRule type="cellIs" dxfId="3896" priority="137" operator="lessThan">
      <formula>$B$29</formula>
    </cfRule>
  </conditionalFormatting>
  <conditionalFormatting sqref="B30">
    <cfRule type="cellIs" dxfId="3895" priority="136" operator="lessThan">
      <formula>$C$30</formula>
    </cfRule>
  </conditionalFormatting>
  <conditionalFormatting sqref="C30">
    <cfRule type="cellIs" dxfId="3894" priority="135" operator="lessThan">
      <formula>$B$30</formula>
    </cfRule>
  </conditionalFormatting>
  <conditionalFormatting sqref="B31">
    <cfRule type="cellIs" dxfId="3893" priority="134" operator="lessThan">
      <formula>$C$31</formula>
    </cfRule>
  </conditionalFormatting>
  <conditionalFormatting sqref="C31">
    <cfRule type="cellIs" dxfId="3892" priority="133" operator="lessThan">
      <formula>$B$31</formula>
    </cfRule>
  </conditionalFormatting>
  <conditionalFormatting sqref="B32">
    <cfRule type="cellIs" dxfId="3891" priority="132" operator="lessThan">
      <formula>$C$32</formula>
    </cfRule>
  </conditionalFormatting>
  <conditionalFormatting sqref="C32">
    <cfRule type="cellIs" dxfId="3890" priority="131" operator="lessThan">
      <formula>$B$32</formula>
    </cfRule>
  </conditionalFormatting>
  <conditionalFormatting sqref="B33">
    <cfRule type="cellIs" dxfId="3889" priority="130" operator="lessThan">
      <formula>$C$33</formula>
    </cfRule>
  </conditionalFormatting>
  <conditionalFormatting sqref="C33">
    <cfRule type="cellIs" dxfId="3888" priority="129" operator="lessThan">
      <formula>$B$33</formula>
    </cfRule>
  </conditionalFormatting>
  <conditionalFormatting sqref="B34">
    <cfRule type="cellIs" dxfId="3887" priority="128" operator="lessThan">
      <formula>$C$34</formula>
    </cfRule>
  </conditionalFormatting>
  <conditionalFormatting sqref="C34">
    <cfRule type="cellIs" dxfId="3886" priority="127" operator="lessThan">
      <formula>$B$34</formula>
    </cfRule>
  </conditionalFormatting>
  <conditionalFormatting sqref="B35">
    <cfRule type="cellIs" dxfId="3885" priority="126" operator="lessThan">
      <formula>$C$35</formula>
    </cfRule>
  </conditionalFormatting>
  <conditionalFormatting sqref="C35">
    <cfRule type="cellIs" dxfId="3884" priority="125" operator="lessThan">
      <formula>$B$35</formula>
    </cfRule>
  </conditionalFormatting>
  <conditionalFormatting sqref="B36">
    <cfRule type="cellIs" dxfId="3883" priority="124" operator="lessThan">
      <formula>$C$36</formula>
    </cfRule>
  </conditionalFormatting>
  <conditionalFormatting sqref="C36">
    <cfRule type="cellIs" dxfId="3882" priority="123" operator="lessThan">
      <formula>$B$36</formula>
    </cfRule>
  </conditionalFormatting>
  <conditionalFormatting sqref="B37">
    <cfRule type="cellIs" dxfId="3881" priority="122" operator="lessThan">
      <formula>$C$37</formula>
    </cfRule>
  </conditionalFormatting>
  <conditionalFormatting sqref="C37">
    <cfRule type="cellIs" dxfId="3880" priority="121" operator="lessThan">
      <formula>$B$37</formula>
    </cfRule>
  </conditionalFormatting>
  <conditionalFormatting sqref="B38">
    <cfRule type="cellIs" dxfId="3879" priority="120" operator="lessThan">
      <formula>$C$38</formula>
    </cfRule>
  </conditionalFormatting>
  <conditionalFormatting sqref="C38">
    <cfRule type="cellIs" dxfId="3878" priority="119" operator="lessThan">
      <formula>$B$38</formula>
    </cfRule>
  </conditionalFormatting>
  <conditionalFormatting sqref="B39">
    <cfRule type="cellIs" dxfId="3877" priority="118" operator="lessThan">
      <formula>$C$39</formula>
    </cfRule>
  </conditionalFormatting>
  <conditionalFormatting sqref="C39">
    <cfRule type="cellIs" dxfId="3876" priority="117" operator="lessThan">
      <formula>$B$39</formula>
    </cfRule>
  </conditionalFormatting>
  <conditionalFormatting sqref="B40">
    <cfRule type="cellIs" dxfId="3875" priority="116" operator="lessThan">
      <formula>$C$40</formula>
    </cfRule>
  </conditionalFormatting>
  <conditionalFormatting sqref="C40">
    <cfRule type="cellIs" dxfId="3874" priority="115" operator="lessThan">
      <formula>$B$40</formula>
    </cfRule>
  </conditionalFormatting>
  <conditionalFormatting sqref="B41">
    <cfRule type="cellIs" dxfId="3873" priority="114" operator="lessThan">
      <formula>$C$41</formula>
    </cfRule>
  </conditionalFormatting>
  <conditionalFormatting sqref="C41">
    <cfRule type="cellIs" dxfId="3872" priority="113" operator="lessThan">
      <formula>$B$41</formula>
    </cfRule>
  </conditionalFormatting>
  <conditionalFormatting sqref="B42">
    <cfRule type="cellIs" dxfId="3871" priority="112" operator="lessThan">
      <formula>$C$42</formula>
    </cfRule>
  </conditionalFormatting>
  <conditionalFormatting sqref="C42">
    <cfRule type="cellIs" dxfId="3870" priority="111" operator="lessThan">
      <formula>$B$42</formula>
    </cfRule>
  </conditionalFormatting>
  <conditionalFormatting sqref="B43">
    <cfRule type="cellIs" dxfId="3869" priority="110" operator="lessThan">
      <formula>$C$43</formula>
    </cfRule>
  </conditionalFormatting>
  <conditionalFormatting sqref="C43">
    <cfRule type="cellIs" dxfId="3868" priority="109" operator="lessThan">
      <formula>$B$43</formula>
    </cfRule>
  </conditionalFormatting>
  <conditionalFormatting sqref="B44">
    <cfRule type="cellIs" dxfId="3867" priority="108" operator="lessThan">
      <formula>$C$44</formula>
    </cfRule>
  </conditionalFormatting>
  <conditionalFormatting sqref="C44">
    <cfRule type="cellIs" dxfId="3866" priority="107" operator="lessThan">
      <formula>$B$44</formula>
    </cfRule>
  </conditionalFormatting>
  <conditionalFormatting sqref="B45">
    <cfRule type="cellIs" dxfId="3865" priority="106" operator="lessThan">
      <formula>$C$45</formula>
    </cfRule>
  </conditionalFormatting>
  <conditionalFormatting sqref="C45">
    <cfRule type="cellIs" dxfId="3864" priority="105" operator="lessThan">
      <formula>$B$45</formula>
    </cfRule>
  </conditionalFormatting>
  <conditionalFormatting sqref="B46">
    <cfRule type="cellIs" dxfId="3863" priority="104" operator="lessThan">
      <formula>$C$46</formula>
    </cfRule>
  </conditionalFormatting>
  <conditionalFormatting sqref="C46">
    <cfRule type="cellIs" dxfId="3862" priority="103" operator="lessThan">
      <formula>$B$46</formula>
    </cfRule>
  </conditionalFormatting>
  <conditionalFormatting sqref="B47">
    <cfRule type="cellIs" dxfId="3861" priority="102" operator="lessThan">
      <formula>$C$47</formula>
    </cfRule>
  </conditionalFormatting>
  <conditionalFormatting sqref="C47">
    <cfRule type="cellIs" dxfId="3860" priority="101" operator="lessThan">
      <formula>$B$47</formula>
    </cfRule>
  </conditionalFormatting>
  <conditionalFormatting sqref="B48">
    <cfRule type="cellIs" dxfId="3859" priority="100" operator="lessThan">
      <formula>$C$48</formula>
    </cfRule>
  </conditionalFormatting>
  <conditionalFormatting sqref="C48">
    <cfRule type="cellIs" dxfId="3858" priority="99" operator="lessThan">
      <formula>$B$48</formula>
    </cfRule>
  </conditionalFormatting>
  <conditionalFormatting sqref="B49">
    <cfRule type="cellIs" dxfId="3857" priority="98" operator="lessThan">
      <formula>$C$49</formula>
    </cfRule>
  </conditionalFormatting>
  <conditionalFormatting sqref="C49">
    <cfRule type="cellIs" dxfId="3856" priority="97" operator="lessThan">
      <formula>$B$49</formula>
    </cfRule>
  </conditionalFormatting>
  <conditionalFormatting sqref="B50">
    <cfRule type="cellIs" dxfId="3855" priority="96" operator="lessThan">
      <formula>$C$50</formula>
    </cfRule>
  </conditionalFormatting>
  <conditionalFormatting sqref="C50">
    <cfRule type="cellIs" dxfId="3854" priority="95" operator="lessThan">
      <formula>$B$50</formula>
    </cfRule>
  </conditionalFormatting>
  <conditionalFormatting sqref="D4">
    <cfRule type="cellIs" dxfId="3853" priority="94" operator="lessThan">
      <formula>$E$4</formula>
    </cfRule>
  </conditionalFormatting>
  <conditionalFormatting sqref="E4">
    <cfRule type="cellIs" dxfId="3852" priority="93" operator="lessThan">
      <formula>$D$4</formula>
    </cfRule>
  </conditionalFormatting>
  <conditionalFormatting sqref="D5">
    <cfRule type="cellIs" dxfId="3851" priority="92" operator="lessThan">
      <formula>$E$5</formula>
    </cfRule>
  </conditionalFormatting>
  <conditionalFormatting sqref="E5">
    <cfRule type="cellIs" dxfId="3850" priority="91" operator="lessThan">
      <formula>$D$5</formula>
    </cfRule>
  </conditionalFormatting>
  <conditionalFormatting sqref="D6">
    <cfRule type="cellIs" dxfId="3849" priority="90" operator="lessThan">
      <formula>$E$6</formula>
    </cfRule>
  </conditionalFormatting>
  <conditionalFormatting sqref="E6">
    <cfRule type="cellIs" dxfId="3848" priority="89" operator="lessThan">
      <formula>$D$6</formula>
    </cfRule>
  </conditionalFormatting>
  <conditionalFormatting sqref="D7">
    <cfRule type="cellIs" dxfId="3847" priority="88" operator="lessThan">
      <formula>$E$7</formula>
    </cfRule>
  </conditionalFormatting>
  <conditionalFormatting sqref="E7">
    <cfRule type="cellIs" dxfId="3846" priority="87" operator="lessThan">
      <formula>$D$7</formula>
    </cfRule>
  </conditionalFormatting>
  <conditionalFormatting sqref="D8">
    <cfRule type="cellIs" dxfId="3845" priority="86" operator="lessThan">
      <formula>$E$8</formula>
    </cfRule>
  </conditionalFormatting>
  <conditionalFormatting sqref="E8">
    <cfRule type="cellIs" dxfId="3844" priority="85" operator="lessThan">
      <formula>$D$8</formula>
    </cfRule>
  </conditionalFormatting>
  <conditionalFormatting sqref="D9">
    <cfRule type="cellIs" dxfId="3843" priority="84" operator="lessThan">
      <formula>$E$9</formula>
    </cfRule>
  </conditionalFormatting>
  <conditionalFormatting sqref="E9">
    <cfRule type="cellIs" dxfId="3842" priority="83" operator="lessThan">
      <formula>$D$9</formula>
    </cfRule>
  </conditionalFormatting>
  <conditionalFormatting sqref="D10">
    <cfRule type="cellIs" dxfId="3841" priority="82" operator="lessThan">
      <formula>$E$10</formula>
    </cfRule>
  </conditionalFormatting>
  <conditionalFormatting sqref="E10">
    <cfRule type="cellIs" dxfId="3840" priority="81" operator="lessThan">
      <formula>$D$10</formula>
    </cfRule>
  </conditionalFormatting>
  <conditionalFormatting sqref="D11">
    <cfRule type="cellIs" dxfId="3839" priority="80" operator="lessThan">
      <formula>$E$11</formula>
    </cfRule>
  </conditionalFormatting>
  <conditionalFormatting sqref="E11">
    <cfRule type="cellIs" dxfId="3838" priority="79" operator="lessThan">
      <formula>$D$11</formula>
    </cfRule>
  </conditionalFormatting>
  <conditionalFormatting sqref="D12">
    <cfRule type="cellIs" dxfId="3837" priority="78" operator="lessThan">
      <formula>$E$12</formula>
    </cfRule>
  </conditionalFormatting>
  <conditionalFormatting sqref="E12">
    <cfRule type="cellIs" dxfId="3836" priority="77" operator="lessThan">
      <formula>$D$12</formula>
    </cfRule>
  </conditionalFormatting>
  <conditionalFormatting sqref="D13">
    <cfRule type="cellIs" dxfId="3835" priority="76" operator="lessThan">
      <formula>$E$13</formula>
    </cfRule>
  </conditionalFormatting>
  <conditionalFormatting sqref="E13">
    <cfRule type="cellIs" dxfId="3834" priority="75" operator="lessThan">
      <formula>$D$13</formula>
    </cfRule>
  </conditionalFormatting>
  <conditionalFormatting sqref="D14">
    <cfRule type="cellIs" dxfId="3833" priority="74" operator="lessThan">
      <formula>$E$14</formula>
    </cfRule>
  </conditionalFormatting>
  <conditionalFormatting sqref="E14">
    <cfRule type="cellIs" dxfId="3832" priority="73" operator="lessThan">
      <formula>$D$14</formula>
    </cfRule>
  </conditionalFormatting>
  <conditionalFormatting sqref="D15">
    <cfRule type="cellIs" dxfId="3831" priority="72" operator="lessThan">
      <formula>$E$15</formula>
    </cfRule>
  </conditionalFormatting>
  <conditionalFormatting sqref="E15">
    <cfRule type="cellIs" dxfId="3830" priority="71" operator="lessThan">
      <formula>$D$15</formula>
    </cfRule>
  </conditionalFormatting>
  <conditionalFormatting sqref="D16">
    <cfRule type="cellIs" dxfId="3829" priority="70" operator="lessThan">
      <formula>$E$16</formula>
    </cfRule>
  </conditionalFormatting>
  <conditionalFormatting sqref="E16">
    <cfRule type="cellIs" dxfId="3828" priority="69" operator="lessThan">
      <formula>$D$16</formula>
    </cfRule>
  </conditionalFormatting>
  <conditionalFormatting sqref="D17">
    <cfRule type="cellIs" dxfId="3827" priority="68" operator="lessThan">
      <formula>$E$17</formula>
    </cfRule>
  </conditionalFormatting>
  <conditionalFormatting sqref="E17">
    <cfRule type="cellIs" dxfId="3826" priority="67" operator="lessThan">
      <formula>$D$17</formula>
    </cfRule>
  </conditionalFormatting>
  <conditionalFormatting sqref="D18">
    <cfRule type="cellIs" dxfId="3825" priority="66" operator="lessThan">
      <formula>$E$18</formula>
    </cfRule>
  </conditionalFormatting>
  <conditionalFormatting sqref="E18">
    <cfRule type="cellIs" dxfId="3824" priority="65" operator="lessThan">
      <formula>$D$18</formula>
    </cfRule>
  </conditionalFormatting>
  <conditionalFormatting sqref="D19">
    <cfRule type="cellIs" dxfId="3823" priority="64" operator="lessThan">
      <formula>$E$19</formula>
    </cfRule>
  </conditionalFormatting>
  <conditionalFormatting sqref="E19">
    <cfRule type="cellIs" dxfId="3822" priority="63" operator="lessThan">
      <formula>$D$19</formula>
    </cfRule>
  </conditionalFormatting>
  <conditionalFormatting sqref="D20">
    <cfRule type="cellIs" dxfId="3821" priority="62" operator="lessThan">
      <formula>$E$20</formula>
    </cfRule>
  </conditionalFormatting>
  <conditionalFormatting sqref="E20">
    <cfRule type="cellIs" dxfId="3820" priority="61" operator="lessThan">
      <formula>$D$20</formula>
    </cfRule>
  </conditionalFormatting>
  <conditionalFormatting sqref="D21">
    <cfRule type="cellIs" dxfId="3819" priority="60" operator="lessThan">
      <formula>$E$21</formula>
    </cfRule>
  </conditionalFormatting>
  <conditionalFormatting sqref="E21">
    <cfRule type="cellIs" dxfId="3818" priority="59" operator="lessThan">
      <formula>$D$21</formula>
    </cfRule>
  </conditionalFormatting>
  <conditionalFormatting sqref="D22">
    <cfRule type="cellIs" dxfId="3817" priority="58" operator="lessThan">
      <formula>$E$22</formula>
    </cfRule>
  </conditionalFormatting>
  <conditionalFormatting sqref="E22">
    <cfRule type="cellIs" dxfId="3816" priority="57" operator="lessThan">
      <formula>$D$22</formula>
    </cfRule>
  </conditionalFormatting>
  <conditionalFormatting sqref="D23">
    <cfRule type="cellIs" dxfId="3815" priority="56" operator="lessThan">
      <formula>$E$23</formula>
    </cfRule>
  </conditionalFormatting>
  <conditionalFormatting sqref="E23">
    <cfRule type="cellIs" dxfId="3814" priority="55" operator="lessThan">
      <formula>$D$23</formula>
    </cfRule>
  </conditionalFormatting>
  <conditionalFormatting sqref="D24">
    <cfRule type="cellIs" dxfId="3813" priority="54" operator="lessThan">
      <formula>$E$24</formula>
    </cfRule>
  </conditionalFormatting>
  <conditionalFormatting sqref="E24">
    <cfRule type="cellIs" dxfId="3812" priority="53" operator="lessThan">
      <formula>$D$24</formula>
    </cfRule>
  </conditionalFormatting>
  <conditionalFormatting sqref="D25">
    <cfRule type="cellIs" dxfId="3811" priority="52" operator="lessThan">
      <formula>$E$25</formula>
    </cfRule>
  </conditionalFormatting>
  <conditionalFormatting sqref="E25">
    <cfRule type="cellIs" dxfId="3810" priority="51" operator="lessThan">
      <formula>$D$25</formula>
    </cfRule>
  </conditionalFormatting>
  <conditionalFormatting sqref="D26">
    <cfRule type="cellIs" dxfId="3809" priority="50" operator="lessThan">
      <formula>$E$26</formula>
    </cfRule>
  </conditionalFormatting>
  <conditionalFormatting sqref="E26">
    <cfRule type="cellIs" dxfId="3808" priority="49" operator="lessThan">
      <formula>$D$26</formula>
    </cfRule>
  </conditionalFormatting>
  <conditionalFormatting sqref="D27">
    <cfRule type="cellIs" dxfId="3807" priority="48" operator="lessThan">
      <formula>$E$27</formula>
    </cfRule>
  </conditionalFormatting>
  <conditionalFormatting sqref="E27">
    <cfRule type="cellIs" dxfId="3806" priority="47" operator="lessThan">
      <formula>$D$27</formula>
    </cfRule>
  </conditionalFormatting>
  <conditionalFormatting sqref="D28">
    <cfRule type="cellIs" dxfId="3805" priority="46" operator="lessThan">
      <formula>$E$28</formula>
    </cfRule>
  </conditionalFormatting>
  <conditionalFormatting sqref="E28">
    <cfRule type="cellIs" dxfId="3804" priority="45" operator="lessThan">
      <formula>$D$28</formula>
    </cfRule>
  </conditionalFormatting>
  <conditionalFormatting sqref="D29">
    <cfRule type="cellIs" dxfId="3803" priority="44" operator="lessThan">
      <formula>$E$29</formula>
    </cfRule>
  </conditionalFormatting>
  <conditionalFormatting sqref="E29">
    <cfRule type="cellIs" dxfId="3802" priority="43" operator="lessThan">
      <formula>$D$29</formula>
    </cfRule>
  </conditionalFormatting>
  <conditionalFormatting sqref="D30">
    <cfRule type="cellIs" dxfId="3801" priority="42" operator="lessThan">
      <formula>$E$30</formula>
    </cfRule>
  </conditionalFormatting>
  <conditionalFormatting sqref="E30">
    <cfRule type="cellIs" dxfId="3800" priority="41" operator="lessThan">
      <formula>$D$30</formula>
    </cfRule>
  </conditionalFormatting>
  <conditionalFormatting sqref="D31">
    <cfRule type="cellIs" dxfId="3799" priority="40" operator="lessThan">
      <formula>$E$31</formula>
    </cfRule>
  </conditionalFormatting>
  <conditionalFormatting sqref="E31">
    <cfRule type="cellIs" dxfId="3798" priority="39" operator="lessThan">
      <formula>$D$31</formula>
    </cfRule>
  </conditionalFormatting>
  <conditionalFormatting sqref="D32">
    <cfRule type="cellIs" dxfId="3797" priority="38" operator="lessThan">
      <formula>$E$32</formula>
    </cfRule>
  </conditionalFormatting>
  <conditionalFormatting sqref="E32">
    <cfRule type="cellIs" dxfId="3796" priority="37" operator="lessThan">
      <formula>$D$32</formula>
    </cfRule>
  </conditionalFormatting>
  <conditionalFormatting sqref="D33">
    <cfRule type="cellIs" dxfId="3795" priority="36" operator="lessThan">
      <formula>$E$33</formula>
    </cfRule>
  </conditionalFormatting>
  <conditionalFormatting sqref="E33">
    <cfRule type="cellIs" dxfId="3794" priority="35" operator="lessThan">
      <formula>$D$33</formula>
    </cfRule>
  </conditionalFormatting>
  <conditionalFormatting sqref="D34">
    <cfRule type="cellIs" dxfId="3793" priority="34" operator="lessThan">
      <formula>$E$34</formula>
    </cfRule>
  </conditionalFormatting>
  <conditionalFormatting sqref="E34">
    <cfRule type="cellIs" dxfId="3792" priority="33" operator="lessThan">
      <formula>$D$34</formula>
    </cfRule>
  </conditionalFormatting>
  <conditionalFormatting sqref="D35">
    <cfRule type="cellIs" dxfId="3791" priority="32" operator="lessThan">
      <formula>$E$35</formula>
    </cfRule>
  </conditionalFormatting>
  <conditionalFormatting sqref="E35">
    <cfRule type="cellIs" dxfId="3790" priority="31" operator="lessThan">
      <formula>$D$35</formula>
    </cfRule>
  </conditionalFormatting>
  <conditionalFormatting sqref="D36">
    <cfRule type="cellIs" dxfId="3789" priority="30" operator="lessThan">
      <formula>$E$36</formula>
    </cfRule>
  </conditionalFormatting>
  <conditionalFormatting sqref="E36">
    <cfRule type="cellIs" dxfId="3788" priority="29" operator="lessThan">
      <formula>$D$36</formula>
    </cfRule>
  </conditionalFormatting>
  <conditionalFormatting sqref="D37">
    <cfRule type="cellIs" dxfId="3787" priority="28" operator="lessThan">
      <formula>$E$37</formula>
    </cfRule>
  </conditionalFormatting>
  <conditionalFormatting sqref="E37">
    <cfRule type="cellIs" dxfId="3786" priority="27" operator="lessThan">
      <formula>$D$37</formula>
    </cfRule>
  </conditionalFormatting>
  <conditionalFormatting sqref="D38">
    <cfRule type="cellIs" dxfId="3785" priority="26" operator="lessThan">
      <formula>$E$38</formula>
    </cfRule>
  </conditionalFormatting>
  <conditionalFormatting sqref="E38">
    <cfRule type="cellIs" dxfId="3784" priority="25" operator="lessThan">
      <formula>$D$38</formula>
    </cfRule>
  </conditionalFormatting>
  <conditionalFormatting sqref="D39">
    <cfRule type="cellIs" dxfId="3783" priority="24" operator="lessThan">
      <formula>$E$39</formula>
    </cfRule>
  </conditionalFormatting>
  <conditionalFormatting sqref="E39">
    <cfRule type="cellIs" dxfId="3782" priority="23" operator="lessThan">
      <formula>$D$39</formula>
    </cfRule>
  </conditionalFormatting>
  <conditionalFormatting sqref="D40">
    <cfRule type="cellIs" dxfId="3781" priority="22" operator="lessThan">
      <formula>$E$40</formula>
    </cfRule>
  </conditionalFormatting>
  <conditionalFormatting sqref="E40">
    <cfRule type="cellIs" dxfId="3780" priority="21" operator="lessThan">
      <formula>$D$40</formula>
    </cfRule>
  </conditionalFormatting>
  <conditionalFormatting sqref="D41">
    <cfRule type="cellIs" dxfId="3779" priority="20" operator="lessThan">
      <formula>$E$41</formula>
    </cfRule>
  </conditionalFormatting>
  <conditionalFormatting sqref="E41">
    <cfRule type="cellIs" dxfId="3778" priority="19" operator="lessThan">
      <formula>$D$41</formula>
    </cfRule>
  </conditionalFormatting>
  <conditionalFormatting sqref="D42">
    <cfRule type="cellIs" dxfId="3777" priority="18" operator="lessThan">
      <formula>$E$42</formula>
    </cfRule>
  </conditionalFormatting>
  <conditionalFormatting sqref="E42">
    <cfRule type="cellIs" dxfId="3776" priority="17" operator="lessThan">
      <formula>$D$42</formula>
    </cfRule>
  </conditionalFormatting>
  <conditionalFormatting sqref="D43">
    <cfRule type="cellIs" dxfId="3775" priority="16" operator="lessThan">
      <formula>$E$43</formula>
    </cfRule>
  </conditionalFormatting>
  <conditionalFormatting sqref="E43">
    <cfRule type="cellIs" dxfId="3774" priority="15" operator="lessThan">
      <formula>$D$43</formula>
    </cfRule>
  </conditionalFormatting>
  <conditionalFormatting sqref="D44">
    <cfRule type="cellIs" dxfId="3773" priority="14" operator="lessThan">
      <formula>$E$44</formula>
    </cfRule>
  </conditionalFormatting>
  <conditionalFormatting sqref="E44">
    <cfRule type="cellIs" dxfId="3772" priority="13" operator="lessThan">
      <formula>$D$44</formula>
    </cfRule>
  </conditionalFormatting>
  <conditionalFormatting sqref="D45">
    <cfRule type="cellIs" dxfId="3771" priority="12" operator="lessThan">
      <formula>$E$45</formula>
    </cfRule>
  </conditionalFormatting>
  <conditionalFormatting sqref="E45">
    <cfRule type="cellIs" dxfId="3770" priority="11" operator="lessThan">
      <formula>$D$45</formula>
    </cfRule>
  </conditionalFormatting>
  <conditionalFormatting sqref="D46">
    <cfRule type="cellIs" dxfId="3769" priority="10" operator="lessThan">
      <formula>$E$46</formula>
    </cfRule>
  </conditionalFormatting>
  <conditionalFormatting sqref="E46">
    <cfRule type="cellIs" dxfId="3768" priority="9" operator="lessThan">
      <formula>$D$46</formula>
    </cfRule>
  </conditionalFormatting>
  <conditionalFormatting sqref="D47">
    <cfRule type="cellIs" dxfId="3767" priority="8" operator="lessThan">
      <formula>$E$47</formula>
    </cfRule>
  </conditionalFormatting>
  <conditionalFormatting sqref="E47">
    <cfRule type="cellIs" dxfId="3766" priority="7" operator="lessThan">
      <formula>$D$47</formula>
    </cfRule>
  </conditionalFormatting>
  <conditionalFormatting sqref="D48">
    <cfRule type="cellIs" dxfId="3765" priority="6" operator="lessThan">
      <formula>$E$48</formula>
    </cfRule>
  </conditionalFormatting>
  <conditionalFormatting sqref="E48">
    <cfRule type="cellIs" dxfId="3764" priority="5" operator="lessThan">
      <formula>$D$48</formula>
    </cfRule>
  </conditionalFormatting>
  <conditionalFormatting sqref="D49">
    <cfRule type="cellIs" dxfId="3763" priority="4" operator="lessThan">
      <formula>$E$49</formula>
    </cfRule>
  </conditionalFormatting>
  <conditionalFormatting sqref="E49">
    <cfRule type="cellIs" dxfId="3762" priority="3" operator="lessThan">
      <formula>$D$49</formula>
    </cfRule>
  </conditionalFormatting>
  <conditionalFormatting sqref="D50">
    <cfRule type="cellIs" dxfId="3761" priority="2" operator="lessThan">
      <formula>$E$50</formula>
    </cfRule>
  </conditionalFormatting>
  <conditionalFormatting sqref="E50">
    <cfRule type="cellIs" dxfId="3760" priority="1" operator="lessThan">
      <formula>$D$50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2.2405882352941173</v>
      </c>
      <c r="C1" s="2">
        <f>AVERAGE(C4:C30)</f>
        <v>1.8858823529411766</v>
      </c>
      <c r="D1" s="2">
        <f>AVERAGE(D4:D60)</f>
        <v>3.2370588235294124</v>
      </c>
      <c r="E1" s="2">
        <f>AVERAGE(E4:E60)</f>
        <v>3.2135294117647066</v>
      </c>
      <c r="F1" s="1">
        <f>SUM(F4:F50)</f>
        <v>639.37499999999989</v>
      </c>
      <c r="G1" s="1">
        <f>D1-E1</f>
        <v>2.3529411764705799E-2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25.124572118922</v>
      </c>
      <c r="H3" s="2">
        <f>L3/M3</f>
        <v>35.440595929284328</v>
      </c>
      <c r="I3" s="4">
        <f t="shared" ref="I3:R3" si="0">SUM(I4:I50)</f>
        <v>51.781990521327018</v>
      </c>
      <c r="J3" s="4">
        <f t="shared" si="0"/>
        <v>19.721990521327019</v>
      </c>
      <c r="K3" s="4">
        <f t="shared" si="0"/>
        <v>551.77242298578221</v>
      </c>
      <c r="L3" s="4">
        <f t="shared" si="0"/>
        <v>55177.24229857821</v>
      </c>
      <c r="M3" s="4">
        <f t="shared" si="0"/>
        <v>1556.89375</v>
      </c>
      <c r="N3" s="4">
        <f t="shared" si="0"/>
        <v>52.161137440758296</v>
      </c>
      <c r="O3" s="4">
        <f t="shared" si="0"/>
        <v>14.071137440758299</v>
      </c>
      <c r="P3" s="4">
        <f t="shared" si="0"/>
        <v>392.42565402843621</v>
      </c>
      <c r="Q3" s="4">
        <f t="shared" si="0"/>
        <v>39242.565402843618</v>
      </c>
      <c r="R3" s="4">
        <f t="shared" si="0"/>
        <v>1561.91975</v>
      </c>
    </row>
    <row r="4" spans="1:18" x14ac:dyDescent="0.25">
      <c r="A4" t="s">
        <v>9</v>
      </c>
      <c r="B4">
        <v>2.8</v>
      </c>
      <c r="C4">
        <v>2.1</v>
      </c>
      <c r="D4">
        <v>3.99</v>
      </c>
      <c r="E4">
        <v>3.29</v>
      </c>
      <c r="F4">
        <v>10</v>
      </c>
      <c r="G4" s="1">
        <f>Q4/R4</f>
        <v>24.611291261328695</v>
      </c>
      <c r="H4" s="1">
        <f>L4/M4</f>
        <v>30.956942623777351</v>
      </c>
      <c r="I4">
        <f t="shared" ref="I4:I51" si="1">E4/1.055</f>
        <v>3.1184834123222749</v>
      </c>
      <c r="J4">
        <f t="shared" ref="J4:J51" si="2">I4-C4</f>
        <v>1.0184834123222748</v>
      </c>
      <c r="K4">
        <f t="shared" ref="K4:K51" si="3">J4*F4</f>
        <v>10.184834123222748</v>
      </c>
      <c r="L4">
        <f>K4*100</f>
        <v>1018.4834123222748</v>
      </c>
      <c r="M4">
        <f t="shared" ref="M4:M51" si="4">E4*F4</f>
        <v>32.9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t="s">
        <v>10</v>
      </c>
      <c r="B5">
        <v>2.95</v>
      </c>
      <c r="C5">
        <v>2.1</v>
      </c>
      <c r="D5">
        <v>4.49</v>
      </c>
      <c r="E5">
        <v>4.99</v>
      </c>
      <c r="F5">
        <v>10</v>
      </c>
      <c r="G5" s="1">
        <f t="shared" ref="G5:G51" si="5">Q5/R5</f>
        <v>29.085170837775369</v>
      </c>
      <c r="H5" s="1">
        <f t="shared" ref="H5:H51" si="6">L5/M5</f>
        <v>52.702561521146556</v>
      </c>
      <c r="I5">
        <f t="shared" si="1"/>
        <v>4.7298578199052139</v>
      </c>
      <c r="J5">
        <f t="shared" si="2"/>
        <v>2.6298578199052138</v>
      </c>
      <c r="K5">
        <f t="shared" si="3"/>
        <v>26.298578199052137</v>
      </c>
      <c r="L5">
        <f t="shared" ref="L5:L51" si="7">K5*100</f>
        <v>2629.8578199052135</v>
      </c>
      <c r="M5">
        <f t="shared" si="4"/>
        <v>49.900000000000006</v>
      </c>
      <c r="N5">
        <f t="shared" ref="N5:N51" si="8">D5/1.055</f>
        <v>4.2559241706161144</v>
      </c>
      <c r="O5">
        <f t="shared" ref="O5:O51" si="9">N5-B5</f>
        <v>1.3059241706161142</v>
      </c>
      <c r="P5">
        <f t="shared" ref="P5:P51" si="10">O5*F5</f>
        <v>13.059241706161142</v>
      </c>
      <c r="Q5">
        <f t="shared" ref="Q5:Q51" si="11">P5*100</f>
        <v>1305.9241706161142</v>
      </c>
      <c r="R5">
        <f t="shared" ref="R5:R51" si="12">D5*F5</f>
        <v>44.900000000000006</v>
      </c>
    </row>
    <row r="6" spans="1:18" x14ac:dyDescent="0.25">
      <c r="A6" t="s">
        <v>11</v>
      </c>
      <c r="B6">
        <v>4.59</v>
      </c>
      <c r="C6">
        <v>2.99</v>
      </c>
      <c r="D6">
        <v>6.49</v>
      </c>
      <c r="E6">
        <v>4.99</v>
      </c>
      <c r="F6">
        <v>5</v>
      </c>
      <c r="G6" s="1">
        <f t="shared" si="5"/>
        <v>24.0625387946458</v>
      </c>
      <c r="H6" s="1">
        <f t="shared" si="6"/>
        <v>34.866890178461198</v>
      </c>
      <c r="I6">
        <f t="shared" si="1"/>
        <v>4.7298578199052139</v>
      </c>
      <c r="J6">
        <f t="shared" si="2"/>
        <v>1.7398578199052137</v>
      </c>
      <c r="K6">
        <f t="shared" si="3"/>
        <v>8.6992890995260694</v>
      </c>
      <c r="L6">
        <f t="shared" si="7"/>
        <v>869.928909952607</v>
      </c>
      <c r="M6">
        <f t="shared" si="4"/>
        <v>24.950000000000003</v>
      </c>
      <c r="N6">
        <f t="shared" si="8"/>
        <v>6.1516587677725125</v>
      </c>
      <c r="O6">
        <f t="shared" si="9"/>
        <v>1.5616587677725127</v>
      </c>
      <c r="P6">
        <f t="shared" si="10"/>
        <v>7.8082938388625633</v>
      </c>
      <c r="Q6">
        <f t="shared" si="11"/>
        <v>780.82938388625632</v>
      </c>
      <c r="R6">
        <f t="shared" si="12"/>
        <v>32.450000000000003</v>
      </c>
    </row>
    <row r="7" spans="1:18" x14ac:dyDescent="0.25">
      <c r="A7" t="s">
        <v>12</v>
      </c>
      <c r="B7">
        <v>2.75</v>
      </c>
      <c r="C7">
        <v>1.69</v>
      </c>
      <c r="D7">
        <v>3.99</v>
      </c>
      <c r="E7">
        <v>2.99</v>
      </c>
      <c r="F7">
        <v>15</v>
      </c>
      <c r="G7" s="1">
        <f t="shared" si="5"/>
        <v>25.864424093408893</v>
      </c>
      <c r="H7" s="1">
        <f t="shared" si="6"/>
        <v>38.264990727385126</v>
      </c>
      <c r="I7">
        <f t="shared" si="1"/>
        <v>2.8341232227488153</v>
      </c>
      <c r="J7">
        <f t="shared" si="2"/>
        <v>1.1441232227488154</v>
      </c>
      <c r="K7">
        <f t="shared" si="3"/>
        <v>17.161848341232229</v>
      </c>
      <c r="L7">
        <f t="shared" si="7"/>
        <v>1716.184834123223</v>
      </c>
      <c r="M7">
        <f t="shared" si="4"/>
        <v>44.85</v>
      </c>
      <c r="N7">
        <f t="shared" si="8"/>
        <v>3.7819905213270149</v>
      </c>
      <c r="O7">
        <f t="shared" si="9"/>
        <v>1.0319905213270149</v>
      </c>
      <c r="P7">
        <f t="shared" si="10"/>
        <v>15.479857819905224</v>
      </c>
      <c r="Q7">
        <f t="shared" si="11"/>
        <v>1547.9857819905224</v>
      </c>
      <c r="R7">
        <f t="shared" si="12"/>
        <v>59.85</v>
      </c>
    </row>
    <row r="8" spans="1:18" x14ac:dyDescent="0.25">
      <c r="A8" t="s">
        <v>13</v>
      </c>
      <c r="B8">
        <v>1.25</v>
      </c>
      <c r="C8">
        <v>1.4</v>
      </c>
      <c r="D8">
        <v>1.69</v>
      </c>
      <c r="E8">
        <v>1.99</v>
      </c>
      <c r="F8">
        <v>30</v>
      </c>
      <c r="G8" s="1">
        <f t="shared" si="5"/>
        <v>20.822232816399794</v>
      </c>
      <c r="H8" s="1">
        <f t="shared" si="6"/>
        <v>24.434971063850064</v>
      </c>
      <c r="I8">
        <f t="shared" si="1"/>
        <v>1.8862559241706163</v>
      </c>
      <c r="J8">
        <f t="shared" si="2"/>
        <v>0.48625592417061636</v>
      </c>
      <c r="K8">
        <f t="shared" si="3"/>
        <v>14.587677725118491</v>
      </c>
      <c r="L8">
        <f t="shared" si="7"/>
        <v>1458.767772511849</v>
      </c>
      <c r="M8">
        <f t="shared" si="4"/>
        <v>59.7</v>
      </c>
      <c r="N8">
        <f t="shared" si="8"/>
        <v>1.6018957345971565</v>
      </c>
      <c r="O8">
        <f t="shared" si="9"/>
        <v>0.35189573459715651</v>
      </c>
      <c r="P8">
        <f t="shared" si="10"/>
        <v>10.556872037914696</v>
      </c>
      <c r="Q8">
        <f t="shared" si="11"/>
        <v>1055.6872037914695</v>
      </c>
      <c r="R8">
        <f t="shared" si="12"/>
        <v>50.699999999999996</v>
      </c>
    </row>
    <row r="9" spans="1:18" x14ac:dyDescent="0.25">
      <c r="A9" t="s">
        <v>14</v>
      </c>
      <c r="B9">
        <v>1.45</v>
      </c>
      <c r="C9">
        <v>1.4</v>
      </c>
      <c r="D9">
        <v>1.89</v>
      </c>
      <c r="E9">
        <v>1.99</v>
      </c>
      <c r="F9">
        <v>36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17.505213270142189</v>
      </c>
      <c r="L9">
        <f t="shared" si="7"/>
        <v>1750.521327014219</v>
      </c>
      <c r="M9">
        <f t="shared" si="4"/>
        <v>71.64</v>
      </c>
      <c r="N9">
        <f t="shared" si="8"/>
        <v>1.7914691943127963</v>
      </c>
      <c r="O9">
        <f t="shared" si="9"/>
        <v>0.34146919431279632</v>
      </c>
      <c r="P9">
        <f t="shared" si="10"/>
        <v>12.292890995260667</v>
      </c>
      <c r="Q9">
        <f t="shared" si="11"/>
        <v>1229.2890995260666</v>
      </c>
      <c r="R9">
        <f t="shared" si="12"/>
        <v>68.039999999999992</v>
      </c>
    </row>
    <row r="10" spans="1:18" x14ac:dyDescent="0.25">
      <c r="A10" t="s">
        <v>15</v>
      </c>
      <c r="B10">
        <v>1.45</v>
      </c>
      <c r="C10">
        <v>1.4</v>
      </c>
      <c r="D10">
        <v>1.89</v>
      </c>
      <c r="E10">
        <v>1.99</v>
      </c>
      <c r="F10">
        <v>48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23.340284360189585</v>
      </c>
      <c r="L10">
        <f t="shared" si="7"/>
        <v>2334.0284360189585</v>
      </c>
      <c r="M10">
        <f t="shared" si="4"/>
        <v>95.52</v>
      </c>
      <c r="N10">
        <f t="shared" si="8"/>
        <v>1.7914691943127963</v>
      </c>
      <c r="O10">
        <f t="shared" si="9"/>
        <v>0.34146919431279632</v>
      </c>
      <c r="P10">
        <f t="shared" si="10"/>
        <v>16.390521327014223</v>
      </c>
      <c r="Q10">
        <f t="shared" si="11"/>
        <v>1639.0521327014224</v>
      </c>
      <c r="R10">
        <f t="shared" si="12"/>
        <v>90.72</v>
      </c>
    </row>
    <row r="11" spans="1:18" x14ac:dyDescent="0.25">
      <c r="A11" t="s">
        <v>16</v>
      </c>
      <c r="B11">
        <v>2.75</v>
      </c>
      <c r="C11">
        <v>2.75</v>
      </c>
      <c r="D11">
        <v>3.99</v>
      </c>
      <c r="E11">
        <v>3.99</v>
      </c>
      <c r="F11">
        <v>13</v>
      </c>
      <c r="G11" s="1">
        <f t="shared" si="5"/>
        <v>25.864424093408889</v>
      </c>
      <c r="H11" s="1">
        <f t="shared" si="6"/>
        <v>25.864424093408889</v>
      </c>
      <c r="I11">
        <f t="shared" si="1"/>
        <v>3.7819905213270149</v>
      </c>
      <c r="J11">
        <f t="shared" si="2"/>
        <v>1.0319905213270149</v>
      </c>
      <c r="K11">
        <f t="shared" si="3"/>
        <v>13.415876777251192</v>
      </c>
      <c r="L11">
        <f t="shared" si="7"/>
        <v>1341.5876777251192</v>
      </c>
      <c r="M11">
        <f t="shared" si="4"/>
        <v>51.870000000000005</v>
      </c>
      <c r="N11">
        <f t="shared" si="8"/>
        <v>3.7819905213270149</v>
      </c>
      <c r="O11">
        <f t="shared" si="9"/>
        <v>1.0319905213270149</v>
      </c>
      <c r="P11">
        <f t="shared" si="10"/>
        <v>13.415876777251192</v>
      </c>
      <c r="Q11">
        <f t="shared" si="11"/>
        <v>1341.5876777251192</v>
      </c>
      <c r="R11">
        <f t="shared" si="12"/>
        <v>51.870000000000005</v>
      </c>
    </row>
    <row r="12" spans="1:18" x14ac:dyDescent="0.25">
      <c r="A12" t="s">
        <v>17</v>
      </c>
      <c r="B12">
        <v>2.5499999999999998</v>
      </c>
      <c r="C12">
        <v>2.6</v>
      </c>
      <c r="D12">
        <v>3.99</v>
      </c>
      <c r="E12">
        <v>4.99</v>
      </c>
      <c r="F12">
        <v>5</v>
      </c>
      <c r="G12" s="1">
        <f t="shared" si="5"/>
        <v>30.876955421729697</v>
      </c>
      <c r="H12" s="1">
        <f t="shared" si="6"/>
        <v>42.682521440986235</v>
      </c>
      <c r="I12">
        <f t="shared" si="1"/>
        <v>4.7298578199052139</v>
      </c>
      <c r="J12">
        <f t="shared" si="2"/>
        <v>2.1298578199052138</v>
      </c>
      <c r="K12">
        <f t="shared" si="3"/>
        <v>10.649289099526069</v>
      </c>
      <c r="L12">
        <f t="shared" si="7"/>
        <v>1064.9289099526068</v>
      </c>
      <c r="M12">
        <f t="shared" si="4"/>
        <v>24.950000000000003</v>
      </c>
      <c r="N12">
        <f t="shared" si="8"/>
        <v>3.7819905213270149</v>
      </c>
      <c r="O12">
        <f t="shared" si="9"/>
        <v>1.231990521327015</v>
      </c>
      <c r="P12">
        <f t="shared" si="10"/>
        <v>6.1599526066350752</v>
      </c>
      <c r="Q12">
        <f t="shared" si="11"/>
        <v>615.99526066350757</v>
      </c>
      <c r="R12">
        <f t="shared" si="12"/>
        <v>19.950000000000003</v>
      </c>
    </row>
    <row r="13" spans="1:18" x14ac:dyDescent="0.25">
      <c r="A13" t="s">
        <v>18</v>
      </c>
      <c r="B13">
        <v>1.1000000000000001</v>
      </c>
      <c r="C13">
        <v>1</v>
      </c>
      <c r="D13">
        <v>1.59</v>
      </c>
      <c r="E13">
        <v>1.49</v>
      </c>
      <c r="F13">
        <v>96</v>
      </c>
      <c r="G13" s="1">
        <f t="shared" si="5"/>
        <v>25.604339920712992</v>
      </c>
      <c r="H13" s="1">
        <f t="shared" si="6"/>
        <v>27.672635898088373</v>
      </c>
      <c r="I13">
        <f t="shared" si="1"/>
        <v>1.4123222748815167</v>
      </c>
      <c r="J13">
        <f t="shared" si="2"/>
        <v>0.41232227488151674</v>
      </c>
      <c r="K13">
        <f t="shared" si="3"/>
        <v>39.582938388625607</v>
      </c>
      <c r="L13">
        <f t="shared" si="7"/>
        <v>3958.2938388625607</v>
      </c>
      <c r="M13">
        <f t="shared" si="4"/>
        <v>143.04</v>
      </c>
      <c r="N13">
        <f t="shared" si="8"/>
        <v>1.5071090047393367</v>
      </c>
      <c r="O13">
        <f t="shared" si="9"/>
        <v>0.40710900473933664</v>
      </c>
      <c r="P13">
        <f t="shared" si="10"/>
        <v>39.082464454976318</v>
      </c>
      <c r="Q13">
        <f t="shared" si="11"/>
        <v>3908.2464454976316</v>
      </c>
      <c r="R13">
        <f t="shared" si="12"/>
        <v>152.64000000000001</v>
      </c>
    </row>
    <row r="14" spans="1:18" x14ac:dyDescent="0.25">
      <c r="A14" t="s">
        <v>19</v>
      </c>
      <c r="B14">
        <v>2.9</v>
      </c>
      <c r="C14">
        <v>2.5499999999999998</v>
      </c>
      <c r="D14">
        <v>4.1900000000000004</v>
      </c>
      <c r="E14">
        <v>4.49</v>
      </c>
      <c r="F14">
        <v>27.58</v>
      </c>
      <c r="G14" s="1">
        <f t="shared" si="5"/>
        <v>25.574319356626606</v>
      </c>
      <c r="H14" s="1">
        <f t="shared" si="6"/>
        <v>37.993856806594977</v>
      </c>
      <c r="I14">
        <f t="shared" si="1"/>
        <v>4.2559241706161144</v>
      </c>
      <c r="J14">
        <f t="shared" si="2"/>
        <v>1.7059241706161146</v>
      </c>
      <c r="K14">
        <f t="shared" si="3"/>
        <v>47.049388625592435</v>
      </c>
      <c r="L14">
        <f t="shared" si="7"/>
        <v>4704.9388625592437</v>
      </c>
      <c r="M14">
        <f t="shared" si="4"/>
        <v>123.8342</v>
      </c>
      <c r="N14">
        <f t="shared" si="8"/>
        <v>3.9715639810426548</v>
      </c>
      <c r="O14">
        <f t="shared" si="9"/>
        <v>1.0715639810426549</v>
      </c>
      <c r="P14">
        <f t="shared" si="10"/>
        <v>29.553734597156421</v>
      </c>
      <c r="Q14">
        <f t="shared" si="11"/>
        <v>2955.3734597156422</v>
      </c>
      <c r="R14">
        <f t="shared" si="12"/>
        <v>115.56020000000001</v>
      </c>
    </row>
    <row r="15" spans="1:18" x14ac:dyDescent="0.25">
      <c r="A15" t="s">
        <v>20</v>
      </c>
      <c r="B15">
        <v>0.95</v>
      </c>
      <c r="C15">
        <v>0.65</v>
      </c>
      <c r="D15">
        <v>1.39</v>
      </c>
      <c r="E15">
        <v>1.29</v>
      </c>
      <c r="F15">
        <v>132</v>
      </c>
      <c r="G15" s="1">
        <f t="shared" si="5"/>
        <v>26.441406116812722</v>
      </c>
      <c r="H15" s="1">
        <f t="shared" si="6"/>
        <v>44.399132958595111</v>
      </c>
      <c r="I15">
        <f t="shared" si="1"/>
        <v>1.222748815165877</v>
      </c>
      <c r="J15">
        <f t="shared" si="2"/>
        <v>0.57274881516587695</v>
      </c>
      <c r="K15">
        <f t="shared" si="3"/>
        <v>75.602843601895756</v>
      </c>
      <c r="L15">
        <f t="shared" si="7"/>
        <v>7560.2843601895756</v>
      </c>
      <c r="M15">
        <f t="shared" si="4"/>
        <v>170.28</v>
      </c>
      <c r="N15">
        <f t="shared" si="8"/>
        <v>1.3175355450236967</v>
      </c>
      <c r="O15">
        <f t="shared" si="9"/>
        <v>0.36753554502369679</v>
      </c>
      <c r="P15">
        <f t="shared" si="10"/>
        <v>48.514691943127978</v>
      </c>
      <c r="Q15">
        <f t="shared" si="11"/>
        <v>4851.4691943127982</v>
      </c>
      <c r="R15">
        <f t="shared" si="12"/>
        <v>183.48</v>
      </c>
    </row>
    <row r="16" spans="1:18" x14ac:dyDescent="0.25">
      <c r="A16" t="s">
        <v>21</v>
      </c>
      <c r="B16">
        <v>1.45</v>
      </c>
      <c r="C16">
        <v>1.4</v>
      </c>
      <c r="D16">
        <v>1.89</v>
      </c>
      <c r="E16">
        <v>1.99</v>
      </c>
      <c r="F16">
        <v>6</v>
      </c>
      <c r="G16" s="1">
        <f t="shared" si="5"/>
        <v>18.067153138243192</v>
      </c>
      <c r="H16" s="1">
        <f t="shared" si="6"/>
        <v>24.434971063850067</v>
      </c>
      <c r="I16">
        <f t="shared" si="1"/>
        <v>1.8862559241706163</v>
      </c>
      <c r="J16">
        <f t="shared" si="2"/>
        <v>0.48625592417061636</v>
      </c>
      <c r="K16">
        <f t="shared" si="3"/>
        <v>2.9175355450236982</v>
      </c>
      <c r="L16">
        <f t="shared" si="7"/>
        <v>291.75355450236981</v>
      </c>
      <c r="M16">
        <f t="shared" si="4"/>
        <v>11.94</v>
      </c>
      <c r="N16">
        <f t="shared" si="8"/>
        <v>1.7914691943127963</v>
      </c>
      <c r="O16">
        <f t="shared" si="9"/>
        <v>0.34146919431279632</v>
      </c>
      <c r="P16">
        <f t="shared" si="10"/>
        <v>2.0488151658767779</v>
      </c>
      <c r="Q16">
        <f t="shared" si="11"/>
        <v>204.88151658767779</v>
      </c>
      <c r="R16">
        <f t="shared" si="12"/>
        <v>11.34</v>
      </c>
    </row>
    <row r="17" spans="1:18" x14ac:dyDescent="0.25">
      <c r="A17" t="s">
        <v>22</v>
      </c>
      <c r="B17">
        <v>1.7</v>
      </c>
      <c r="C17">
        <v>1.39</v>
      </c>
      <c r="D17">
        <v>2.79</v>
      </c>
      <c r="E17">
        <v>2.99</v>
      </c>
      <c r="F17">
        <v>55</v>
      </c>
      <c r="G17" s="1">
        <f t="shared" si="5"/>
        <v>33.854830216242853</v>
      </c>
      <c r="H17" s="1">
        <f t="shared" si="6"/>
        <v>48.298435543438636</v>
      </c>
      <c r="I17">
        <f t="shared" si="1"/>
        <v>2.8341232227488153</v>
      </c>
      <c r="J17">
        <f t="shared" si="2"/>
        <v>1.4441232227488154</v>
      </c>
      <c r="K17">
        <f t="shared" si="3"/>
        <v>79.426777251184845</v>
      </c>
      <c r="L17">
        <f t="shared" si="7"/>
        <v>7942.6777251184849</v>
      </c>
      <c r="M17">
        <f t="shared" si="4"/>
        <v>164.45000000000002</v>
      </c>
      <c r="N17">
        <f t="shared" si="8"/>
        <v>2.6445497630331753</v>
      </c>
      <c r="O17">
        <f t="shared" si="9"/>
        <v>0.94454976303317539</v>
      </c>
      <c r="P17">
        <f t="shared" si="10"/>
        <v>51.950236966824647</v>
      </c>
      <c r="Q17">
        <f t="shared" si="11"/>
        <v>5195.023696682465</v>
      </c>
      <c r="R17">
        <f t="shared" si="12"/>
        <v>153.44999999999999</v>
      </c>
    </row>
    <row r="18" spans="1:18" x14ac:dyDescent="0.25">
      <c r="A18" t="s">
        <v>23</v>
      </c>
      <c r="B18">
        <v>2.0499999999999998</v>
      </c>
      <c r="C18">
        <v>1.7</v>
      </c>
      <c r="D18">
        <v>2.79</v>
      </c>
      <c r="E18">
        <v>2.69</v>
      </c>
      <c r="F18">
        <v>100</v>
      </c>
      <c r="G18" s="1">
        <f t="shared" si="5"/>
        <v>21.310027348859339</v>
      </c>
      <c r="H18" s="1">
        <f t="shared" si="6"/>
        <v>31.589703835515067</v>
      </c>
      <c r="I18">
        <f t="shared" si="1"/>
        <v>2.5497630331753554</v>
      </c>
      <c r="J18">
        <f t="shared" si="2"/>
        <v>0.8497630331753554</v>
      </c>
      <c r="K18">
        <f t="shared" si="3"/>
        <v>84.976303317535539</v>
      </c>
      <c r="L18">
        <f t="shared" si="7"/>
        <v>8497.630331753553</v>
      </c>
      <c r="M18">
        <f t="shared" si="4"/>
        <v>269</v>
      </c>
      <c r="N18">
        <f t="shared" si="8"/>
        <v>2.6445497630331753</v>
      </c>
      <c r="O18">
        <f t="shared" si="9"/>
        <v>0.59454976303317553</v>
      </c>
      <c r="P18">
        <f t="shared" si="10"/>
        <v>59.454976303317551</v>
      </c>
      <c r="Q18">
        <f t="shared" si="11"/>
        <v>5945.4976303317553</v>
      </c>
      <c r="R18">
        <f t="shared" si="12"/>
        <v>279</v>
      </c>
    </row>
    <row r="19" spans="1:18" x14ac:dyDescent="0.25">
      <c r="A19" t="s">
        <v>24</v>
      </c>
      <c r="B19">
        <v>3</v>
      </c>
      <c r="C19">
        <v>2.5499999999999998</v>
      </c>
      <c r="D19">
        <v>4.49</v>
      </c>
      <c r="E19">
        <v>4.49</v>
      </c>
      <c r="F19">
        <v>30.795000000000002</v>
      </c>
      <c r="G19" s="1">
        <f t="shared" si="5"/>
        <v>27.971585091672928</v>
      </c>
      <c r="H19" s="1">
        <f t="shared" si="6"/>
        <v>37.993856806594977</v>
      </c>
      <c r="I19">
        <f t="shared" si="1"/>
        <v>4.2559241706161144</v>
      </c>
      <c r="J19">
        <f t="shared" si="2"/>
        <v>1.7059241706161146</v>
      </c>
      <c r="K19">
        <f t="shared" si="3"/>
        <v>52.533934834123251</v>
      </c>
      <c r="L19">
        <f t="shared" si="7"/>
        <v>5253.3934834123247</v>
      </c>
      <c r="M19">
        <f t="shared" si="4"/>
        <v>138.26955000000001</v>
      </c>
      <c r="N19">
        <f t="shared" si="8"/>
        <v>4.2559241706161144</v>
      </c>
      <c r="O19">
        <f t="shared" si="9"/>
        <v>1.2559241706161144</v>
      </c>
      <c r="P19">
        <f t="shared" si="10"/>
        <v>38.676184834123248</v>
      </c>
      <c r="Q19">
        <f t="shared" si="11"/>
        <v>3867.6184834123246</v>
      </c>
      <c r="R19">
        <f t="shared" si="12"/>
        <v>138.26955000000001</v>
      </c>
    </row>
    <row r="20" spans="1:18" x14ac:dyDescent="0.25">
      <c r="A20" t="s">
        <v>25</v>
      </c>
      <c r="B20">
        <v>2.4</v>
      </c>
      <c r="C20">
        <v>2.39</v>
      </c>
      <c r="D20">
        <v>3.49</v>
      </c>
      <c r="E20">
        <v>3.99</v>
      </c>
      <c r="F20">
        <v>20</v>
      </c>
      <c r="G20" s="1">
        <f t="shared" si="5"/>
        <v>26.018821548364322</v>
      </c>
      <c r="H20" s="1">
        <f t="shared" si="6"/>
        <v>34.886980484386335</v>
      </c>
      <c r="I20">
        <f t="shared" si="1"/>
        <v>3.7819905213270149</v>
      </c>
      <c r="J20">
        <f t="shared" si="2"/>
        <v>1.3919905213270147</v>
      </c>
      <c r="K20">
        <f t="shared" si="3"/>
        <v>27.839810426540296</v>
      </c>
      <c r="L20">
        <f t="shared" si="7"/>
        <v>2783.9810426540298</v>
      </c>
      <c r="M20">
        <f t="shared" si="4"/>
        <v>79.800000000000011</v>
      </c>
      <c r="N20">
        <f t="shared" si="8"/>
        <v>3.3080568720379149</v>
      </c>
      <c r="O20">
        <f t="shared" si="9"/>
        <v>0.90805687203791496</v>
      </c>
      <c r="P20">
        <f t="shared" si="10"/>
        <v>18.161137440758299</v>
      </c>
      <c r="Q20">
        <f t="shared" si="11"/>
        <v>1816.11374407583</v>
      </c>
      <c r="R20">
        <f t="shared" si="12"/>
        <v>69.800000000000011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759" priority="188" operator="lessThan">
      <formula>$C$4</formula>
    </cfRule>
  </conditionalFormatting>
  <conditionalFormatting sqref="C4">
    <cfRule type="cellIs" dxfId="3758" priority="187" operator="lessThan">
      <formula>$B$4</formula>
    </cfRule>
  </conditionalFormatting>
  <conditionalFormatting sqref="B5">
    <cfRule type="cellIs" dxfId="3757" priority="186" operator="lessThan">
      <formula>$C$5</formula>
    </cfRule>
  </conditionalFormatting>
  <conditionalFormatting sqref="C5">
    <cfRule type="cellIs" dxfId="3756" priority="185" operator="lessThan">
      <formula>$B$5</formula>
    </cfRule>
  </conditionalFormatting>
  <conditionalFormatting sqref="B6">
    <cfRule type="cellIs" dxfId="3755" priority="184" operator="lessThan">
      <formula>$C$6</formula>
    </cfRule>
  </conditionalFormatting>
  <conditionalFormatting sqref="C6">
    <cfRule type="cellIs" dxfId="3754" priority="183" operator="lessThan">
      <formula>$B$6</formula>
    </cfRule>
  </conditionalFormatting>
  <conditionalFormatting sqref="B7">
    <cfRule type="cellIs" dxfId="3753" priority="182" operator="lessThan">
      <formula>$C$7</formula>
    </cfRule>
  </conditionalFormatting>
  <conditionalFormatting sqref="C7">
    <cfRule type="cellIs" dxfId="3752" priority="181" operator="lessThan">
      <formula>$B$7</formula>
    </cfRule>
  </conditionalFormatting>
  <conditionalFormatting sqref="B8">
    <cfRule type="cellIs" dxfId="3751" priority="180" operator="lessThan">
      <formula>$C$8</formula>
    </cfRule>
  </conditionalFormatting>
  <conditionalFormatting sqref="C8">
    <cfRule type="cellIs" dxfId="3750" priority="179" operator="lessThan">
      <formula>$B$8</formula>
    </cfRule>
  </conditionalFormatting>
  <conditionalFormatting sqref="B9">
    <cfRule type="cellIs" dxfId="3749" priority="178" operator="lessThan">
      <formula>$C$9</formula>
    </cfRule>
  </conditionalFormatting>
  <conditionalFormatting sqref="C9">
    <cfRule type="cellIs" dxfId="3748" priority="177" operator="lessThan">
      <formula>$B$9</formula>
    </cfRule>
  </conditionalFormatting>
  <conditionalFormatting sqref="B10">
    <cfRule type="cellIs" dxfId="3747" priority="176" operator="lessThan">
      <formula>$C$10</formula>
    </cfRule>
  </conditionalFormatting>
  <conditionalFormatting sqref="C10">
    <cfRule type="cellIs" dxfId="3746" priority="175" operator="lessThan">
      <formula>$B$10</formula>
    </cfRule>
  </conditionalFormatting>
  <conditionalFormatting sqref="B11">
    <cfRule type="cellIs" dxfId="3745" priority="174" operator="lessThan">
      <formula>$C$11</formula>
    </cfRule>
  </conditionalFormatting>
  <conditionalFormatting sqref="C11">
    <cfRule type="cellIs" dxfId="3744" priority="173" operator="lessThan">
      <formula>$B$11</formula>
    </cfRule>
  </conditionalFormatting>
  <conditionalFormatting sqref="B12">
    <cfRule type="cellIs" dxfId="3743" priority="172" operator="lessThan">
      <formula>$C$12</formula>
    </cfRule>
  </conditionalFormatting>
  <conditionalFormatting sqref="C12">
    <cfRule type="cellIs" dxfId="3742" priority="171" operator="lessThan">
      <formula>$B$12</formula>
    </cfRule>
  </conditionalFormatting>
  <conditionalFormatting sqref="B13">
    <cfRule type="cellIs" dxfId="3741" priority="170" operator="lessThan">
      <formula>$C$13</formula>
    </cfRule>
  </conditionalFormatting>
  <conditionalFormatting sqref="C13">
    <cfRule type="cellIs" dxfId="3740" priority="169" operator="lessThan">
      <formula>$B$13</formula>
    </cfRule>
  </conditionalFormatting>
  <conditionalFormatting sqref="B14">
    <cfRule type="cellIs" dxfId="3739" priority="168" operator="lessThan">
      <formula>$C$14</formula>
    </cfRule>
  </conditionalFormatting>
  <conditionalFormatting sqref="C14">
    <cfRule type="cellIs" dxfId="3738" priority="167" operator="lessThan">
      <formula>$B$14</formula>
    </cfRule>
  </conditionalFormatting>
  <conditionalFormatting sqref="B15">
    <cfRule type="cellIs" dxfId="3737" priority="166" operator="lessThan">
      <formula>$C$15</formula>
    </cfRule>
  </conditionalFormatting>
  <conditionalFormatting sqref="C15">
    <cfRule type="cellIs" dxfId="3736" priority="165" operator="lessThan">
      <formula>$B$15</formula>
    </cfRule>
  </conditionalFormatting>
  <conditionalFormatting sqref="B16">
    <cfRule type="cellIs" dxfId="3735" priority="164" operator="lessThan">
      <formula>$C$16</formula>
    </cfRule>
  </conditionalFormatting>
  <conditionalFormatting sqref="C16">
    <cfRule type="cellIs" dxfId="3734" priority="163" operator="lessThan">
      <formula>$B$16</formula>
    </cfRule>
  </conditionalFormatting>
  <conditionalFormatting sqref="B17">
    <cfRule type="cellIs" dxfId="3733" priority="162" operator="lessThan">
      <formula>$C$17</formula>
    </cfRule>
  </conditionalFormatting>
  <conditionalFormatting sqref="C17">
    <cfRule type="cellIs" dxfId="3732" priority="161" operator="lessThan">
      <formula>$B$17</formula>
    </cfRule>
  </conditionalFormatting>
  <conditionalFormatting sqref="B18">
    <cfRule type="cellIs" dxfId="3731" priority="160" operator="lessThan">
      <formula>$C$18</formula>
    </cfRule>
  </conditionalFormatting>
  <conditionalFormatting sqref="C18">
    <cfRule type="cellIs" dxfId="3730" priority="159" operator="lessThan">
      <formula>$B$18</formula>
    </cfRule>
  </conditionalFormatting>
  <conditionalFormatting sqref="C19">
    <cfRule type="cellIs" dxfId="3729" priority="158" operator="lessThan">
      <formula>$B$19</formula>
    </cfRule>
  </conditionalFormatting>
  <conditionalFormatting sqref="B19">
    <cfRule type="cellIs" dxfId="3728" priority="157" operator="lessThan">
      <formula>$C$19</formula>
    </cfRule>
  </conditionalFormatting>
  <conditionalFormatting sqref="B20">
    <cfRule type="cellIs" dxfId="3727" priority="156" operator="lessThan">
      <formula>$C$20</formula>
    </cfRule>
  </conditionalFormatting>
  <conditionalFormatting sqref="C20">
    <cfRule type="cellIs" dxfId="3726" priority="155" operator="lessThan">
      <formula>$B$20</formula>
    </cfRule>
  </conditionalFormatting>
  <conditionalFormatting sqref="B21">
    <cfRule type="cellIs" dxfId="3725" priority="154" operator="lessThan">
      <formula>$C$21</formula>
    </cfRule>
  </conditionalFormatting>
  <conditionalFormatting sqref="C21">
    <cfRule type="cellIs" dxfId="3724" priority="153" operator="lessThan">
      <formula>$B$21</formula>
    </cfRule>
  </conditionalFormatting>
  <conditionalFormatting sqref="B22">
    <cfRule type="cellIs" dxfId="3723" priority="152" operator="lessThan">
      <formula>$C$22</formula>
    </cfRule>
  </conditionalFormatting>
  <conditionalFormatting sqref="C22">
    <cfRule type="cellIs" dxfId="3722" priority="151" operator="lessThan">
      <formula>$B$22</formula>
    </cfRule>
  </conditionalFormatting>
  <conditionalFormatting sqref="B23">
    <cfRule type="cellIs" dxfId="3721" priority="150" operator="lessThan">
      <formula>$C$23</formula>
    </cfRule>
  </conditionalFormatting>
  <conditionalFormatting sqref="C23">
    <cfRule type="cellIs" dxfId="3720" priority="149" operator="lessThan">
      <formula>$B$23</formula>
    </cfRule>
  </conditionalFormatting>
  <conditionalFormatting sqref="B24">
    <cfRule type="cellIs" dxfId="3719" priority="148" operator="lessThan">
      <formula>$C$24</formula>
    </cfRule>
  </conditionalFormatting>
  <conditionalFormatting sqref="C24">
    <cfRule type="cellIs" dxfId="3718" priority="147" operator="lessThan">
      <formula>$B$24</formula>
    </cfRule>
  </conditionalFormatting>
  <conditionalFormatting sqref="B25">
    <cfRule type="cellIs" dxfId="3717" priority="146" operator="lessThan">
      <formula>$C$25</formula>
    </cfRule>
  </conditionalFormatting>
  <conditionalFormatting sqref="C25">
    <cfRule type="cellIs" dxfId="3716" priority="145" operator="lessThan">
      <formula>$B$25</formula>
    </cfRule>
  </conditionalFormatting>
  <conditionalFormatting sqref="B26">
    <cfRule type="cellIs" dxfId="3715" priority="144" operator="lessThan">
      <formula>$C$26</formula>
    </cfRule>
  </conditionalFormatting>
  <conditionalFormatting sqref="C26">
    <cfRule type="cellIs" dxfId="3714" priority="143" operator="lessThan">
      <formula>$B$26</formula>
    </cfRule>
  </conditionalFormatting>
  <conditionalFormatting sqref="B27">
    <cfRule type="cellIs" dxfId="3713" priority="142" operator="lessThan">
      <formula>$C$27</formula>
    </cfRule>
  </conditionalFormatting>
  <conditionalFormatting sqref="C27">
    <cfRule type="cellIs" dxfId="3712" priority="141" operator="lessThan">
      <formula>$B$27</formula>
    </cfRule>
  </conditionalFormatting>
  <conditionalFormatting sqref="B28">
    <cfRule type="cellIs" dxfId="3711" priority="140" operator="lessThan">
      <formula>$C$28</formula>
    </cfRule>
  </conditionalFormatting>
  <conditionalFormatting sqref="C28">
    <cfRule type="cellIs" dxfId="3710" priority="139" operator="lessThan">
      <formula>$B$28</formula>
    </cfRule>
  </conditionalFormatting>
  <conditionalFormatting sqref="B29">
    <cfRule type="cellIs" dxfId="3709" priority="138" operator="lessThan">
      <formula>$C$29</formula>
    </cfRule>
  </conditionalFormatting>
  <conditionalFormatting sqref="C29">
    <cfRule type="cellIs" dxfId="3708" priority="137" operator="lessThan">
      <formula>$B$29</formula>
    </cfRule>
  </conditionalFormatting>
  <conditionalFormatting sqref="B30">
    <cfRule type="cellIs" dxfId="3707" priority="136" operator="lessThan">
      <formula>$C$30</formula>
    </cfRule>
  </conditionalFormatting>
  <conditionalFormatting sqref="C30">
    <cfRule type="cellIs" dxfId="3706" priority="135" operator="lessThan">
      <formula>$B$30</formula>
    </cfRule>
  </conditionalFormatting>
  <conditionalFormatting sqref="B31">
    <cfRule type="cellIs" dxfId="3705" priority="134" operator="lessThan">
      <formula>$C$31</formula>
    </cfRule>
  </conditionalFormatting>
  <conditionalFormatting sqref="C31">
    <cfRule type="cellIs" dxfId="3704" priority="133" operator="lessThan">
      <formula>$B$31</formula>
    </cfRule>
  </conditionalFormatting>
  <conditionalFormatting sqref="B32">
    <cfRule type="cellIs" dxfId="3703" priority="132" operator="lessThan">
      <formula>$C$32</formula>
    </cfRule>
  </conditionalFormatting>
  <conditionalFormatting sqref="C32">
    <cfRule type="cellIs" dxfId="3702" priority="131" operator="lessThan">
      <formula>$B$32</formula>
    </cfRule>
  </conditionalFormatting>
  <conditionalFormatting sqref="B33">
    <cfRule type="cellIs" dxfId="3701" priority="130" operator="lessThan">
      <formula>$C$33</formula>
    </cfRule>
  </conditionalFormatting>
  <conditionalFormatting sqref="C33">
    <cfRule type="cellIs" dxfId="3700" priority="129" operator="lessThan">
      <formula>$B$33</formula>
    </cfRule>
  </conditionalFormatting>
  <conditionalFormatting sqref="B34">
    <cfRule type="cellIs" dxfId="3699" priority="128" operator="lessThan">
      <formula>$C$34</formula>
    </cfRule>
  </conditionalFormatting>
  <conditionalFormatting sqref="C34">
    <cfRule type="cellIs" dxfId="3698" priority="127" operator="lessThan">
      <formula>$B$34</formula>
    </cfRule>
  </conditionalFormatting>
  <conditionalFormatting sqref="B35">
    <cfRule type="cellIs" dxfId="3697" priority="126" operator="lessThan">
      <formula>$C$35</formula>
    </cfRule>
  </conditionalFormatting>
  <conditionalFormatting sqref="C35">
    <cfRule type="cellIs" dxfId="3696" priority="125" operator="lessThan">
      <formula>$B$35</formula>
    </cfRule>
  </conditionalFormatting>
  <conditionalFormatting sqref="B36">
    <cfRule type="cellIs" dxfId="3695" priority="124" operator="lessThan">
      <formula>$C$36</formula>
    </cfRule>
  </conditionalFormatting>
  <conditionalFormatting sqref="C36">
    <cfRule type="cellIs" dxfId="3694" priority="123" operator="lessThan">
      <formula>$B$36</formula>
    </cfRule>
  </conditionalFormatting>
  <conditionalFormatting sqref="B37">
    <cfRule type="cellIs" dxfId="3693" priority="122" operator="lessThan">
      <formula>$C$37</formula>
    </cfRule>
  </conditionalFormatting>
  <conditionalFormatting sqref="C37">
    <cfRule type="cellIs" dxfId="3692" priority="121" operator="lessThan">
      <formula>$B$37</formula>
    </cfRule>
  </conditionalFormatting>
  <conditionalFormatting sqref="B38">
    <cfRule type="cellIs" dxfId="3691" priority="120" operator="lessThan">
      <formula>$C$38</formula>
    </cfRule>
  </conditionalFormatting>
  <conditionalFormatting sqref="C38">
    <cfRule type="cellIs" dxfId="3690" priority="119" operator="lessThan">
      <formula>$B$38</formula>
    </cfRule>
  </conditionalFormatting>
  <conditionalFormatting sqref="B39">
    <cfRule type="cellIs" dxfId="3689" priority="118" operator="lessThan">
      <formula>$C$39</formula>
    </cfRule>
  </conditionalFormatting>
  <conditionalFormatting sqref="C39">
    <cfRule type="cellIs" dxfId="3688" priority="117" operator="lessThan">
      <formula>$B$39</formula>
    </cfRule>
  </conditionalFormatting>
  <conditionalFormatting sqref="B40">
    <cfRule type="cellIs" dxfId="3687" priority="116" operator="lessThan">
      <formula>$C$40</formula>
    </cfRule>
  </conditionalFormatting>
  <conditionalFormatting sqref="C40">
    <cfRule type="cellIs" dxfId="3686" priority="115" operator="lessThan">
      <formula>$B$40</formula>
    </cfRule>
  </conditionalFormatting>
  <conditionalFormatting sqref="B41">
    <cfRule type="cellIs" dxfId="3685" priority="114" operator="lessThan">
      <formula>$C$41</formula>
    </cfRule>
  </conditionalFormatting>
  <conditionalFormatting sqref="C41">
    <cfRule type="cellIs" dxfId="3684" priority="113" operator="lessThan">
      <formula>$B$41</formula>
    </cfRule>
  </conditionalFormatting>
  <conditionalFormatting sqref="B42">
    <cfRule type="cellIs" dxfId="3683" priority="112" operator="lessThan">
      <formula>$C$42</formula>
    </cfRule>
  </conditionalFormatting>
  <conditionalFormatting sqref="C42">
    <cfRule type="cellIs" dxfId="3682" priority="111" operator="lessThan">
      <formula>$B$42</formula>
    </cfRule>
  </conditionalFormatting>
  <conditionalFormatting sqref="B43">
    <cfRule type="cellIs" dxfId="3681" priority="110" operator="lessThan">
      <formula>$C$43</formula>
    </cfRule>
  </conditionalFormatting>
  <conditionalFormatting sqref="C43">
    <cfRule type="cellIs" dxfId="3680" priority="109" operator="lessThan">
      <formula>$B$43</formula>
    </cfRule>
  </conditionalFormatting>
  <conditionalFormatting sqref="B44">
    <cfRule type="cellIs" dxfId="3679" priority="108" operator="lessThan">
      <formula>$C$44</formula>
    </cfRule>
  </conditionalFormatting>
  <conditionalFormatting sqref="C44">
    <cfRule type="cellIs" dxfId="3678" priority="107" operator="lessThan">
      <formula>$B$44</formula>
    </cfRule>
  </conditionalFormatting>
  <conditionalFormatting sqref="B45">
    <cfRule type="cellIs" dxfId="3677" priority="106" operator="lessThan">
      <formula>$C$45</formula>
    </cfRule>
  </conditionalFormatting>
  <conditionalFormatting sqref="C45">
    <cfRule type="cellIs" dxfId="3676" priority="105" operator="lessThan">
      <formula>$B$45</formula>
    </cfRule>
  </conditionalFormatting>
  <conditionalFormatting sqref="B46">
    <cfRule type="cellIs" dxfId="3675" priority="104" operator="lessThan">
      <formula>$C$46</formula>
    </cfRule>
  </conditionalFormatting>
  <conditionalFormatting sqref="C46">
    <cfRule type="cellIs" dxfId="3674" priority="103" operator="lessThan">
      <formula>$B$46</formula>
    </cfRule>
  </conditionalFormatting>
  <conditionalFormatting sqref="B47">
    <cfRule type="cellIs" dxfId="3673" priority="102" operator="lessThan">
      <formula>$C$47</formula>
    </cfRule>
  </conditionalFormatting>
  <conditionalFormatting sqref="C47">
    <cfRule type="cellIs" dxfId="3672" priority="101" operator="lessThan">
      <formula>$B$47</formula>
    </cfRule>
  </conditionalFormatting>
  <conditionalFormatting sqref="B48">
    <cfRule type="cellIs" dxfId="3671" priority="100" operator="lessThan">
      <formula>$C$48</formula>
    </cfRule>
  </conditionalFormatting>
  <conditionalFormatting sqref="C48">
    <cfRule type="cellIs" dxfId="3670" priority="99" operator="lessThan">
      <formula>$B$48</formula>
    </cfRule>
  </conditionalFormatting>
  <conditionalFormatting sqref="B49">
    <cfRule type="cellIs" dxfId="3669" priority="98" operator="lessThan">
      <formula>$C$49</formula>
    </cfRule>
  </conditionalFormatting>
  <conditionalFormatting sqref="C49">
    <cfRule type="cellIs" dxfId="3668" priority="97" operator="lessThan">
      <formula>$B$49</formula>
    </cfRule>
  </conditionalFormatting>
  <conditionalFormatting sqref="B50">
    <cfRule type="cellIs" dxfId="3667" priority="96" operator="lessThan">
      <formula>$C$50</formula>
    </cfRule>
  </conditionalFormatting>
  <conditionalFormatting sqref="C50">
    <cfRule type="cellIs" dxfId="3666" priority="95" operator="lessThan">
      <formula>$B$50</formula>
    </cfRule>
  </conditionalFormatting>
  <conditionalFormatting sqref="D4">
    <cfRule type="cellIs" dxfId="3665" priority="94" operator="lessThan">
      <formula>$E$4</formula>
    </cfRule>
  </conditionalFormatting>
  <conditionalFormatting sqref="E4">
    <cfRule type="cellIs" dxfId="3664" priority="93" operator="lessThan">
      <formula>$D$4</formula>
    </cfRule>
  </conditionalFormatting>
  <conditionalFormatting sqref="D5">
    <cfRule type="cellIs" dxfId="3663" priority="92" operator="lessThan">
      <formula>$E$5</formula>
    </cfRule>
  </conditionalFormatting>
  <conditionalFormatting sqref="E5">
    <cfRule type="cellIs" dxfId="3662" priority="91" operator="lessThan">
      <formula>$D$5</formula>
    </cfRule>
  </conditionalFormatting>
  <conditionalFormatting sqref="D6">
    <cfRule type="cellIs" dxfId="3661" priority="90" operator="lessThan">
      <formula>$E$6</formula>
    </cfRule>
  </conditionalFormatting>
  <conditionalFormatting sqref="E6">
    <cfRule type="cellIs" dxfId="3660" priority="89" operator="lessThan">
      <formula>$D$6</formula>
    </cfRule>
  </conditionalFormatting>
  <conditionalFormatting sqref="D7">
    <cfRule type="cellIs" dxfId="3659" priority="88" operator="lessThan">
      <formula>$E$7</formula>
    </cfRule>
  </conditionalFormatting>
  <conditionalFormatting sqref="E7">
    <cfRule type="cellIs" dxfId="3658" priority="87" operator="lessThan">
      <formula>$D$7</formula>
    </cfRule>
  </conditionalFormatting>
  <conditionalFormatting sqref="D8">
    <cfRule type="cellIs" dxfId="3657" priority="86" operator="lessThan">
      <formula>$E$8</formula>
    </cfRule>
  </conditionalFormatting>
  <conditionalFormatting sqref="E8">
    <cfRule type="cellIs" dxfId="3656" priority="85" operator="lessThan">
      <formula>$D$8</formula>
    </cfRule>
  </conditionalFormatting>
  <conditionalFormatting sqref="D9">
    <cfRule type="cellIs" dxfId="3655" priority="84" operator="lessThan">
      <formula>$E$9</formula>
    </cfRule>
  </conditionalFormatting>
  <conditionalFormatting sqref="E9">
    <cfRule type="cellIs" dxfId="3654" priority="83" operator="lessThan">
      <formula>$D$9</formula>
    </cfRule>
  </conditionalFormatting>
  <conditionalFormatting sqref="D10">
    <cfRule type="cellIs" dxfId="3653" priority="82" operator="lessThan">
      <formula>$E$10</formula>
    </cfRule>
  </conditionalFormatting>
  <conditionalFormatting sqref="E10">
    <cfRule type="cellIs" dxfId="3652" priority="81" operator="lessThan">
      <formula>$D$10</formula>
    </cfRule>
  </conditionalFormatting>
  <conditionalFormatting sqref="D11">
    <cfRule type="cellIs" dxfId="3651" priority="80" operator="lessThan">
      <formula>$E$11</formula>
    </cfRule>
  </conditionalFormatting>
  <conditionalFormatting sqref="E11">
    <cfRule type="cellIs" dxfId="3650" priority="79" operator="lessThan">
      <formula>$D$11</formula>
    </cfRule>
  </conditionalFormatting>
  <conditionalFormatting sqref="D12">
    <cfRule type="cellIs" dxfId="3649" priority="78" operator="lessThan">
      <formula>$E$12</formula>
    </cfRule>
  </conditionalFormatting>
  <conditionalFormatting sqref="E12">
    <cfRule type="cellIs" dxfId="3648" priority="77" operator="lessThan">
      <formula>$D$12</formula>
    </cfRule>
  </conditionalFormatting>
  <conditionalFormatting sqref="D13">
    <cfRule type="cellIs" dxfId="3647" priority="76" operator="lessThan">
      <formula>$E$13</formula>
    </cfRule>
  </conditionalFormatting>
  <conditionalFormatting sqref="E13">
    <cfRule type="cellIs" dxfId="3646" priority="75" operator="lessThan">
      <formula>$D$13</formula>
    </cfRule>
  </conditionalFormatting>
  <conditionalFormatting sqref="D14">
    <cfRule type="cellIs" dxfId="3645" priority="74" operator="lessThan">
      <formula>$E$14</formula>
    </cfRule>
  </conditionalFormatting>
  <conditionalFormatting sqref="E14">
    <cfRule type="cellIs" dxfId="3644" priority="73" operator="lessThan">
      <formula>$D$14</formula>
    </cfRule>
  </conditionalFormatting>
  <conditionalFormatting sqref="D15">
    <cfRule type="cellIs" dxfId="3643" priority="72" operator="lessThan">
      <formula>$E$15</formula>
    </cfRule>
  </conditionalFormatting>
  <conditionalFormatting sqref="E15">
    <cfRule type="cellIs" dxfId="3642" priority="71" operator="lessThan">
      <formula>$D$15</formula>
    </cfRule>
  </conditionalFormatting>
  <conditionalFormatting sqref="D16">
    <cfRule type="cellIs" dxfId="3641" priority="70" operator="lessThan">
      <formula>$E$16</formula>
    </cfRule>
  </conditionalFormatting>
  <conditionalFormatting sqref="E16">
    <cfRule type="cellIs" dxfId="3640" priority="69" operator="lessThan">
      <formula>$D$16</formula>
    </cfRule>
  </conditionalFormatting>
  <conditionalFormatting sqref="D17">
    <cfRule type="cellIs" dxfId="3639" priority="68" operator="lessThan">
      <formula>$E$17</formula>
    </cfRule>
  </conditionalFormatting>
  <conditionalFormatting sqref="E17">
    <cfRule type="cellIs" dxfId="3638" priority="67" operator="lessThan">
      <formula>$D$17</formula>
    </cfRule>
  </conditionalFormatting>
  <conditionalFormatting sqref="D18">
    <cfRule type="cellIs" dxfId="3637" priority="66" operator="lessThan">
      <formula>$E$18</formula>
    </cfRule>
  </conditionalFormatting>
  <conditionalFormatting sqref="E18">
    <cfRule type="cellIs" dxfId="3636" priority="65" operator="lessThan">
      <formula>$D$18</formula>
    </cfRule>
  </conditionalFormatting>
  <conditionalFormatting sqref="D19">
    <cfRule type="cellIs" dxfId="3635" priority="64" operator="lessThan">
      <formula>$E$19</formula>
    </cfRule>
  </conditionalFormatting>
  <conditionalFormatting sqref="E19">
    <cfRule type="cellIs" dxfId="3634" priority="63" operator="lessThan">
      <formula>$D$19</formula>
    </cfRule>
  </conditionalFormatting>
  <conditionalFormatting sqref="D20">
    <cfRule type="cellIs" dxfId="3633" priority="62" operator="lessThan">
      <formula>$E$20</formula>
    </cfRule>
  </conditionalFormatting>
  <conditionalFormatting sqref="E20">
    <cfRule type="cellIs" dxfId="3632" priority="61" operator="lessThan">
      <formula>$D$20</formula>
    </cfRule>
  </conditionalFormatting>
  <conditionalFormatting sqref="D21">
    <cfRule type="cellIs" dxfId="3631" priority="60" operator="lessThan">
      <formula>$E$21</formula>
    </cfRule>
  </conditionalFormatting>
  <conditionalFormatting sqref="E21">
    <cfRule type="cellIs" dxfId="3630" priority="59" operator="lessThan">
      <formula>$D$21</formula>
    </cfRule>
  </conditionalFormatting>
  <conditionalFormatting sqref="D22">
    <cfRule type="cellIs" dxfId="3629" priority="58" operator="lessThan">
      <formula>$E$22</formula>
    </cfRule>
  </conditionalFormatting>
  <conditionalFormatting sqref="E22">
    <cfRule type="cellIs" dxfId="3628" priority="57" operator="lessThan">
      <formula>$D$22</formula>
    </cfRule>
  </conditionalFormatting>
  <conditionalFormatting sqref="D23">
    <cfRule type="cellIs" dxfId="3627" priority="56" operator="lessThan">
      <formula>$E$23</formula>
    </cfRule>
  </conditionalFormatting>
  <conditionalFormatting sqref="E23">
    <cfRule type="cellIs" dxfId="3626" priority="55" operator="lessThan">
      <formula>$D$23</formula>
    </cfRule>
  </conditionalFormatting>
  <conditionalFormatting sqref="D24">
    <cfRule type="cellIs" dxfId="3625" priority="54" operator="lessThan">
      <formula>$E$24</formula>
    </cfRule>
  </conditionalFormatting>
  <conditionalFormatting sqref="E24">
    <cfRule type="cellIs" dxfId="3624" priority="53" operator="lessThan">
      <formula>$D$24</formula>
    </cfRule>
  </conditionalFormatting>
  <conditionalFormatting sqref="D25">
    <cfRule type="cellIs" dxfId="3623" priority="52" operator="lessThan">
      <formula>$E$25</formula>
    </cfRule>
  </conditionalFormatting>
  <conditionalFormatting sqref="E25">
    <cfRule type="cellIs" dxfId="3622" priority="51" operator="lessThan">
      <formula>$D$25</formula>
    </cfRule>
  </conditionalFormatting>
  <conditionalFormatting sqref="D26">
    <cfRule type="cellIs" dxfId="3621" priority="50" operator="lessThan">
      <formula>$E$26</formula>
    </cfRule>
  </conditionalFormatting>
  <conditionalFormatting sqref="E26">
    <cfRule type="cellIs" dxfId="3620" priority="49" operator="lessThan">
      <formula>$D$26</formula>
    </cfRule>
  </conditionalFormatting>
  <conditionalFormatting sqref="D27">
    <cfRule type="cellIs" dxfId="3619" priority="48" operator="lessThan">
      <formula>$E$27</formula>
    </cfRule>
  </conditionalFormatting>
  <conditionalFormatting sqref="E27">
    <cfRule type="cellIs" dxfId="3618" priority="47" operator="lessThan">
      <formula>$D$27</formula>
    </cfRule>
  </conditionalFormatting>
  <conditionalFormatting sqref="D28">
    <cfRule type="cellIs" dxfId="3617" priority="46" operator="lessThan">
      <formula>$E$28</formula>
    </cfRule>
  </conditionalFormatting>
  <conditionalFormatting sqref="E28">
    <cfRule type="cellIs" dxfId="3616" priority="45" operator="lessThan">
      <formula>$D$28</formula>
    </cfRule>
  </conditionalFormatting>
  <conditionalFormatting sqref="D29">
    <cfRule type="cellIs" dxfId="3615" priority="44" operator="lessThan">
      <formula>$E$29</formula>
    </cfRule>
  </conditionalFormatting>
  <conditionalFormatting sqref="E29">
    <cfRule type="cellIs" dxfId="3614" priority="43" operator="lessThan">
      <formula>$D$29</formula>
    </cfRule>
  </conditionalFormatting>
  <conditionalFormatting sqref="D30">
    <cfRule type="cellIs" dxfId="3613" priority="42" operator="lessThan">
      <formula>$E$30</formula>
    </cfRule>
  </conditionalFormatting>
  <conditionalFormatting sqref="E30">
    <cfRule type="cellIs" dxfId="3612" priority="41" operator="lessThan">
      <formula>$D$30</formula>
    </cfRule>
  </conditionalFormatting>
  <conditionalFormatting sqref="D31">
    <cfRule type="cellIs" dxfId="3611" priority="40" operator="lessThan">
      <formula>$E$31</formula>
    </cfRule>
  </conditionalFormatting>
  <conditionalFormatting sqref="E31">
    <cfRule type="cellIs" dxfId="3610" priority="39" operator="lessThan">
      <formula>$D$31</formula>
    </cfRule>
  </conditionalFormatting>
  <conditionalFormatting sqref="D32">
    <cfRule type="cellIs" dxfId="3609" priority="38" operator="lessThan">
      <formula>$E$32</formula>
    </cfRule>
  </conditionalFormatting>
  <conditionalFormatting sqref="E32">
    <cfRule type="cellIs" dxfId="3608" priority="37" operator="lessThan">
      <formula>$D$32</formula>
    </cfRule>
  </conditionalFormatting>
  <conditionalFormatting sqref="D33">
    <cfRule type="cellIs" dxfId="3607" priority="36" operator="lessThan">
      <formula>$E$33</formula>
    </cfRule>
  </conditionalFormatting>
  <conditionalFormatting sqref="E33">
    <cfRule type="cellIs" dxfId="3606" priority="35" operator="lessThan">
      <formula>$D$33</formula>
    </cfRule>
  </conditionalFormatting>
  <conditionalFormatting sqref="D34">
    <cfRule type="cellIs" dxfId="3605" priority="34" operator="lessThan">
      <formula>$E$34</formula>
    </cfRule>
  </conditionalFormatting>
  <conditionalFormatting sqref="E34">
    <cfRule type="cellIs" dxfId="3604" priority="33" operator="lessThan">
      <formula>$D$34</formula>
    </cfRule>
  </conditionalFormatting>
  <conditionalFormatting sqref="D35">
    <cfRule type="cellIs" dxfId="3603" priority="32" operator="lessThan">
      <formula>$E$35</formula>
    </cfRule>
  </conditionalFormatting>
  <conditionalFormatting sqref="E35">
    <cfRule type="cellIs" dxfId="3602" priority="31" operator="lessThan">
      <formula>$D$35</formula>
    </cfRule>
  </conditionalFormatting>
  <conditionalFormatting sqref="D36">
    <cfRule type="cellIs" dxfId="3601" priority="30" operator="lessThan">
      <formula>$E$36</formula>
    </cfRule>
  </conditionalFormatting>
  <conditionalFormatting sqref="E36">
    <cfRule type="cellIs" dxfId="3600" priority="29" operator="lessThan">
      <formula>$D$36</formula>
    </cfRule>
  </conditionalFormatting>
  <conditionalFormatting sqref="D37">
    <cfRule type="cellIs" dxfId="3599" priority="28" operator="lessThan">
      <formula>$E$37</formula>
    </cfRule>
  </conditionalFormatting>
  <conditionalFormatting sqref="E37">
    <cfRule type="cellIs" dxfId="3598" priority="27" operator="lessThan">
      <formula>$D$37</formula>
    </cfRule>
  </conditionalFormatting>
  <conditionalFormatting sqref="D38">
    <cfRule type="cellIs" dxfId="3597" priority="26" operator="lessThan">
      <formula>$E$38</formula>
    </cfRule>
  </conditionalFormatting>
  <conditionalFormatting sqref="E38">
    <cfRule type="cellIs" dxfId="3596" priority="25" operator="lessThan">
      <formula>$D$38</formula>
    </cfRule>
  </conditionalFormatting>
  <conditionalFormatting sqref="D39">
    <cfRule type="cellIs" dxfId="3595" priority="24" operator="lessThan">
      <formula>$E$39</formula>
    </cfRule>
  </conditionalFormatting>
  <conditionalFormatting sqref="E39">
    <cfRule type="cellIs" dxfId="3594" priority="23" operator="lessThan">
      <formula>$D$39</formula>
    </cfRule>
  </conditionalFormatting>
  <conditionalFormatting sqref="D40">
    <cfRule type="cellIs" dxfId="3593" priority="22" operator="lessThan">
      <formula>$E$40</formula>
    </cfRule>
  </conditionalFormatting>
  <conditionalFormatting sqref="E40">
    <cfRule type="cellIs" dxfId="3592" priority="21" operator="lessThan">
      <formula>$D$40</formula>
    </cfRule>
  </conditionalFormatting>
  <conditionalFormatting sqref="D41">
    <cfRule type="cellIs" dxfId="3591" priority="20" operator="lessThan">
      <formula>$E$41</formula>
    </cfRule>
  </conditionalFormatting>
  <conditionalFormatting sqref="E41">
    <cfRule type="cellIs" dxfId="3590" priority="19" operator="lessThan">
      <formula>$D$41</formula>
    </cfRule>
  </conditionalFormatting>
  <conditionalFormatting sqref="D42">
    <cfRule type="cellIs" dxfId="3589" priority="18" operator="lessThan">
      <formula>$E$42</formula>
    </cfRule>
  </conditionalFormatting>
  <conditionalFormatting sqref="E42">
    <cfRule type="cellIs" dxfId="3588" priority="17" operator="lessThan">
      <formula>$D$42</formula>
    </cfRule>
  </conditionalFormatting>
  <conditionalFormatting sqref="D43">
    <cfRule type="cellIs" dxfId="3587" priority="16" operator="lessThan">
      <formula>$E$43</formula>
    </cfRule>
  </conditionalFormatting>
  <conditionalFormatting sqref="E43">
    <cfRule type="cellIs" dxfId="3586" priority="15" operator="lessThan">
      <formula>$D$43</formula>
    </cfRule>
  </conditionalFormatting>
  <conditionalFormatting sqref="D44">
    <cfRule type="cellIs" dxfId="3585" priority="14" operator="lessThan">
      <formula>$E$44</formula>
    </cfRule>
  </conditionalFormatting>
  <conditionalFormatting sqref="E44">
    <cfRule type="cellIs" dxfId="3584" priority="13" operator="lessThan">
      <formula>$D$44</formula>
    </cfRule>
  </conditionalFormatting>
  <conditionalFormatting sqref="D45">
    <cfRule type="cellIs" dxfId="3583" priority="12" operator="lessThan">
      <formula>$E$45</formula>
    </cfRule>
  </conditionalFormatting>
  <conditionalFormatting sqref="E45">
    <cfRule type="cellIs" dxfId="3582" priority="11" operator="lessThan">
      <formula>$D$45</formula>
    </cfRule>
  </conditionalFormatting>
  <conditionalFormatting sqref="D46">
    <cfRule type="cellIs" dxfId="3581" priority="10" operator="lessThan">
      <formula>$E$46</formula>
    </cfRule>
  </conditionalFormatting>
  <conditionalFormatting sqref="E46">
    <cfRule type="cellIs" dxfId="3580" priority="9" operator="lessThan">
      <formula>$D$46</formula>
    </cfRule>
  </conditionalFormatting>
  <conditionalFormatting sqref="D47">
    <cfRule type="cellIs" dxfId="3579" priority="8" operator="lessThan">
      <formula>$E$47</formula>
    </cfRule>
  </conditionalFormatting>
  <conditionalFormatting sqref="E47">
    <cfRule type="cellIs" dxfId="3578" priority="7" operator="lessThan">
      <formula>$D$47</formula>
    </cfRule>
  </conditionalFormatting>
  <conditionalFormatting sqref="D48">
    <cfRule type="cellIs" dxfId="3577" priority="6" operator="lessThan">
      <formula>$E$48</formula>
    </cfRule>
  </conditionalFormatting>
  <conditionalFormatting sqref="E48">
    <cfRule type="cellIs" dxfId="3576" priority="5" operator="lessThan">
      <formula>$D$48</formula>
    </cfRule>
  </conditionalFormatting>
  <conditionalFormatting sqref="D49">
    <cfRule type="cellIs" dxfId="3575" priority="4" operator="lessThan">
      <formula>$E$49</formula>
    </cfRule>
  </conditionalFormatting>
  <conditionalFormatting sqref="E49">
    <cfRule type="cellIs" dxfId="3574" priority="3" operator="lessThan">
      <formula>$D$49</formula>
    </cfRule>
  </conditionalFormatting>
  <conditionalFormatting sqref="D50">
    <cfRule type="cellIs" dxfId="3573" priority="2" operator="lessThan">
      <formula>$E$50</formula>
    </cfRule>
  </conditionalFormatting>
  <conditionalFormatting sqref="E50">
    <cfRule type="cellIs" dxfId="3572" priority="1" operator="lessThan">
      <formula>$D$50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1.8376923076923075</v>
      </c>
      <c r="C1" s="2">
        <f>AVERAGE(C4:C30)</f>
        <v>1.6138461538461539</v>
      </c>
      <c r="D1" s="2">
        <f>AVERAGE(D4:D60)</f>
        <v>2.6361538461538463</v>
      </c>
      <c r="E1" s="2">
        <f>AVERAGE(E4:E60)</f>
        <v>2.7823076923076919</v>
      </c>
      <c r="F1" s="1">
        <f>SUM(F4:F50)</f>
        <v>611.60699999999997</v>
      </c>
      <c r="G1" s="1">
        <f>D1-E1</f>
        <v>-0.14615384615384563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26.441072848209828</v>
      </c>
      <c r="H3" s="2">
        <f>L3/M3</f>
        <v>36.388503955579914</v>
      </c>
      <c r="I3" s="4">
        <f t="shared" ref="I3:R3" si="0">SUM(I4:I50)</f>
        <v>34.284360189573462</v>
      </c>
      <c r="J3" s="4">
        <f t="shared" si="0"/>
        <v>13.304360189573467</v>
      </c>
      <c r="K3" s="4">
        <f t="shared" si="0"/>
        <v>475.05753388625607</v>
      </c>
      <c r="L3" s="4">
        <f t="shared" si="0"/>
        <v>47505.753388625613</v>
      </c>
      <c r="M3" s="4">
        <f t="shared" si="0"/>
        <v>1305.5154299999999</v>
      </c>
      <c r="N3" s="4">
        <f t="shared" si="0"/>
        <v>32.483412322274887</v>
      </c>
      <c r="O3" s="4">
        <f t="shared" si="0"/>
        <v>8.5934123222748831</v>
      </c>
      <c r="P3" s="4">
        <f t="shared" si="0"/>
        <v>344.26684834123233</v>
      </c>
      <c r="Q3" s="4">
        <f t="shared" si="0"/>
        <v>34426.68483412324</v>
      </c>
      <c r="R3" s="4">
        <f t="shared" si="0"/>
        <v>1302.0154299999999</v>
      </c>
    </row>
    <row r="4" spans="1:18" x14ac:dyDescent="0.25">
      <c r="A4" t="s">
        <v>26</v>
      </c>
      <c r="B4">
        <v>2.4900000000000002</v>
      </c>
      <c r="C4">
        <v>1.39</v>
      </c>
      <c r="D4">
        <v>3.79</v>
      </c>
      <c r="E4">
        <v>4.99</v>
      </c>
      <c r="F4">
        <v>10</v>
      </c>
      <c r="G4" s="1">
        <f>Q4/R4</f>
        <v>29.087521414548146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33.398578199052139</v>
      </c>
      <c r="L4">
        <f>K4*100</f>
        <v>3339.857819905214</v>
      </c>
      <c r="M4">
        <f t="shared" ref="M4:M51" si="4">E4*F4</f>
        <v>49.900000000000006</v>
      </c>
      <c r="N4">
        <f>D4/1.055</f>
        <v>3.5924170616113749</v>
      </c>
      <c r="O4">
        <f>N4-B4</f>
        <v>1.1024170616113746</v>
      </c>
      <c r="P4">
        <f>O4*F4</f>
        <v>11.024170616113746</v>
      </c>
      <c r="Q4">
        <f>P4*100</f>
        <v>1102.4170616113747</v>
      </c>
      <c r="R4">
        <f>D4*F4</f>
        <v>37.9</v>
      </c>
    </row>
    <row r="5" spans="1:18" x14ac:dyDescent="0.25">
      <c r="A5" t="s">
        <v>18</v>
      </c>
      <c r="B5">
        <v>1.05</v>
      </c>
      <c r="C5">
        <v>0.9</v>
      </c>
      <c r="D5">
        <v>1.59</v>
      </c>
      <c r="E5">
        <v>1.49</v>
      </c>
      <c r="F5">
        <v>112</v>
      </c>
      <c r="G5" s="1">
        <f t="shared" ref="G5:G51" si="5">Q5/R5</f>
        <v>28.748994008763312</v>
      </c>
      <c r="H5" s="1">
        <f t="shared" ref="H5:H51" si="6">L5/M5</f>
        <v>34.384045294061522</v>
      </c>
      <c r="I5">
        <f t="shared" si="1"/>
        <v>1.4123222748815167</v>
      </c>
      <c r="J5">
        <f t="shared" si="2"/>
        <v>0.51232227488151671</v>
      </c>
      <c r="K5">
        <f t="shared" si="3"/>
        <v>57.38009478672987</v>
      </c>
      <c r="L5">
        <f t="shared" ref="L5:L51" si="7">K5*100</f>
        <v>5738.0094786729869</v>
      </c>
      <c r="M5">
        <f t="shared" si="4"/>
        <v>166.88</v>
      </c>
      <c r="N5">
        <f t="shared" ref="N5:N51" si="8">D5/1.055</f>
        <v>1.5071090047393367</v>
      </c>
      <c r="O5">
        <f t="shared" ref="O5:O51" si="9">N5-B5</f>
        <v>0.45710900473933669</v>
      </c>
      <c r="P5">
        <f t="shared" ref="P5:P51" si="10">O5*F5</f>
        <v>51.196208530805706</v>
      </c>
      <c r="Q5">
        <f t="shared" ref="Q5:Q51" si="11">P5*100</f>
        <v>5119.6208530805707</v>
      </c>
      <c r="R5">
        <f t="shared" ref="R5:R51" si="12">D5*F5</f>
        <v>178.08</v>
      </c>
    </row>
    <row r="6" spans="1:18" x14ac:dyDescent="0.25">
      <c r="A6" t="s">
        <v>14</v>
      </c>
      <c r="B6">
        <v>1.45</v>
      </c>
      <c r="C6">
        <v>1.4</v>
      </c>
      <c r="D6">
        <v>1.89</v>
      </c>
      <c r="E6">
        <v>1.99</v>
      </c>
      <c r="F6">
        <v>24</v>
      </c>
      <c r="G6" s="1">
        <f t="shared" si="5"/>
        <v>18.067153138243192</v>
      </c>
      <c r="H6" s="1">
        <f t="shared" si="6"/>
        <v>24.434971063850067</v>
      </c>
      <c r="I6">
        <f t="shared" si="1"/>
        <v>1.8862559241706163</v>
      </c>
      <c r="J6">
        <f t="shared" si="2"/>
        <v>0.48625592417061636</v>
      </c>
      <c r="K6">
        <f t="shared" si="3"/>
        <v>11.670142180094793</v>
      </c>
      <c r="L6">
        <f t="shared" si="7"/>
        <v>1167.0142180094792</v>
      </c>
      <c r="M6">
        <f t="shared" si="4"/>
        <v>47.76</v>
      </c>
      <c r="N6">
        <f t="shared" si="8"/>
        <v>1.7914691943127963</v>
      </c>
      <c r="O6">
        <f t="shared" si="9"/>
        <v>0.34146919431279632</v>
      </c>
      <c r="P6">
        <f t="shared" si="10"/>
        <v>8.1952606635071117</v>
      </c>
      <c r="Q6">
        <f t="shared" si="11"/>
        <v>819.52606635071118</v>
      </c>
      <c r="R6">
        <f t="shared" si="12"/>
        <v>45.36</v>
      </c>
    </row>
    <row r="7" spans="1:18" x14ac:dyDescent="0.25">
      <c r="A7" t="s">
        <v>27</v>
      </c>
      <c r="B7">
        <v>0.95</v>
      </c>
      <c r="C7">
        <v>0.65</v>
      </c>
      <c r="D7">
        <v>1.39</v>
      </c>
      <c r="E7">
        <v>1.29</v>
      </c>
      <c r="F7">
        <v>132</v>
      </c>
      <c r="G7" s="1">
        <f t="shared" si="5"/>
        <v>26.441406116812722</v>
      </c>
      <c r="H7" s="1">
        <f t="shared" si="6"/>
        <v>44.399132958595111</v>
      </c>
      <c r="I7">
        <f t="shared" si="1"/>
        <v>1.222748815165877</v>
      </c>
      <c r="J7">
        <f t="shared" si="2"/>
        <v>0.57274881516587695</v>
      </c>
      <c r="K7">
        <f t="shared" si="3"/>
        <v>75.602843601895756</v>
      </c>
      <c r="L7">
        <f t="shared" si="7"/>
        <v>7560.2843601895756</v>
      </c>
      <c r="M7">
        <f t="shared" si="4"/>
        <v>170.28</v>
      </c>
      <c r="N7">
        <f t="shared" si="8"/>
        <v>1.3175355450236967</v>
      </c>
      <c r="O7">
        <f t="shared" si="9"/>
        <v>0.36753554502369679</v>
      </c>
      <c r="P7">
        <f t="shared" si="10"/>
        <v>48.514691943127978</v>
      </c>
      <c r="Q7">
        <f t="shared" si="11"/>
        <v>4851.4691943127982</v>
      </c>
      <c r="R7">
        <f t="shared" si="12"/>
        <v>183.48</v>
      </c>
    </row>
    <row r="8" spans="1:18" x14ac:dyDescent="0.25">
      <c r="A8" t="s">
        <v>25</v>
      </c>
      <c r="B8">
        <v>2.4</v>
      </c>
      <c r="C8">
        <v>2.39</v>
      </c>
      <c r="D8">
        <v>3.49</v>
      </c>
      <c r="E8">
        <v>3.99</v>
      </c>
      <c r="F8">
        <v>15</v>
      </c>
      <c r="G8" s="1">
        <f t="shared" si="5"/>
        <v>26.018821548364325</v>
      </c>
      <c r="H8" s="1">
        <f t="shared" si="6"/>
        <v>34.886980484386335</v>
      </c>
      <c r="I8">
        <f t="shared" si="1"/>
        <v>3.7819905213270149</v>
      </c>
      <c r="J8">
        <f t="shared" si="2"/>
        <v>1.3919905213270147</v>
      </c>
      <c r="K8">
        <f t="shared" si="3"/>
        <v>20.879857819905222</v>
      </c>
      <c r="L8">
        <f t="shared" si="7"/>
        <v>2087.9857819905224</v>
      </c>
      <c r="M8">
        <f t="shared" si="4"/>
        <v>59.85</v>
      </c>
      <c r="N8">
        <f t="shared" si="8"/>
        <v>3.3080568720379149</v>
      </c>
      <c r="O8">
        <f t="shared" si="9"/>
        <v>0.90805687203791496</v>
      </c>
      <c r="P8">
        <f t="shared" si="10"/>
        <v>13.620853080568725</v>
      </c>
      <c r="Q8">
        <f t="shared" si="11"/>
        <v>1362.0853080568725</v>
      </c>
      <c r="R8">
        <f t="shared" si="12"/>
        <v>52.35</v>
      </c>
    </row>
    <row r="9" spans="1:18" x14ac:dyDescent="0.25">
      <c r="A9" t="s">
        <v>28</v>
      </c>
      <c r="B9">
        <v>1.45</v>
      </c>
      <c r="C9">
        <v>1.4</v>
      </c>
      <c r="D9">
        <v>1.89</v>
      </c>
      <c r="E9">
        <v>1.99</v>
      </c>
      <c r="F9">
        <v>24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11.670142180094793</v>
      </c>
      <c r="L9">
        <f t="shared" si="7"/>
        <v>1167.0142180094792</v>
      </c>
      <c r="M9">
        <f t="shared" si="4"/>
        <v>47.76</v>
      </c>
      <c r="N9">
        <f t="shared" si="8"/>
        <v>1.7914691943127963</v>
      </c>
      <c r="O9">
        <f t="shared" si="9"/>
        <v>0.34146919431279632</v>
      </c>
      <c r="P9">
        <f t="shared" si="10"/>
        <v>8.1952606635071117</v>
      </c>
      <c r="Q9">
        <f t="shared" si="11"/>
        <v>819.52606635071118</v>
      </c>
      <c r="R9">
        <f t="shared" si="12"/>
        <v>45.36</v>
      </c>
    </row>
    <row r="10" spans="1:18" x14ac:dyDescent="0.25">
      <c r="A10" t="s">
        <v>15</v>
      </c>
      <c r="B10">
        <v>1.45</v>
      </c>
      <c r="C10">
        <v>1.4</v>
      </c>
      <c r="D10">
        <v>1.89</v>
      </c>
      <c r="E10">
        <v>1.99</v>
      </c>
      <c r="F10">
        <v>24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11.670142180094793</v>
      </c>
      <c r="L10">
        <f t="shared" si="7"/>
        <v>1167.0142180094792</v>
      </c>
      <c r="M10">
        <f t="shared" si="4"/>
        <v>47.76</v>
      </c>
      <c r="N10">
        <f t="shared" si="8"/>
        <v>1.7914691943127963</v>
      </c>
      <c r="O10">
        <f t="shared" si="9"/>
        <v>0.34146919431279632</v>
      </c>
      <c r="P10">
        <f t="shared" si="10"/>
        <v>8.1952606635071117</v>
      </c>
      <c r="Q10">
        <f t="shared" si="11"/>
        <v>819.52606635071118</v>
      </c>
      <c r="R10">
        <f t="shared" si="12"/>
        <v>45.36</v>
      </c>
    </row>
    <row r="11" spans="1:18" x14ac:dyDescent="0.25">
      <c r="A11" t="s">
        <v>16</v>
      </c>
      <c r="B11">
        <v>2.75</v>
      </c>
      <c r="C11">
        <v>2.75</v>
      </c>
      <c r="D11">
        <v>3.99</v>
      </c>
      <c r="E11">
        <v>3.99</v>
      </c>
      <c r="F11">
        <v>13</v>
      </c>
      <c r="G11" s="1">
        <f t="shared" si="5"/>
        <v>25.864424093408889</v>
      </c>
      <c r="H11" s="1">
        <f t="shared" si="6"/>
        <v>25.864424093408889</v>
      </c>
      <c r="I11">
        <f t="shared" si="1"/>
        <v>3.7819905213270149</v>
      </c>
      <c r="J11">
        <f t="shared" si="2"/>
        <v>1.0319905213270149</v>
      </c>
      <c r="K11">
        <f t="shared" si="3"/>
        <v>13.415876777251192</v>
      </c>
      <c r="L11">
        <f t="shared" si="7"/>
        <v>1341.5876777251192</v>
      </c>
      <c r="M11">
        <f t="shared" si="4"/>
        <v>51.870000000000005</v>
      </c>
      <c r="N11">
        <f t="shared" si="8"/>
        <v>3.7819905213270149</v>
      </c>
      <c r="O11">
        <f t="shared" si="9"/>
        <v>1.0319905213270149</v>
      </c>
      <c r="P11">
        <f t="shared" si="10"/>
        <v>13.415876777251192</v>
      </c>
      <c r="Q11">
        <f t="shared" si="11"/>
        <v>1341.5876777251192</v>
      </c>
      <c r="R11">
        <f t="shared" si="12"/>
        <v>51.870000000000005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A13" t="s">
        <v>24</v>
      </c>
      <c r="B13">
        <v>3</v>
      </c>
      <c r="C13">
        <v>2.5499999999999998</v>
      </c>
      <c r="D13">
        <v>4.49</v>
      </c>
      <c r="E13">
        <v>4.49</v>
      </c>
      <c r="F13">
        <v>40.779000000000003</v>
      </c>
      <c r="G13" s="1">
        <f t="shared" si="5"/>
        <v>27.971585091672921</v>
      </c>
      <c r="H13" s="1">
        <f t="shared" si="6"/>
        <v>37.99385680659497</v>
      </c>
      <c r="I13">
        <f t="shared" si="1"/>
        <v>4.2559241706161144</v>
      </c>
      <c r="J13">
        <f t="shared" si="2"/>
        <v>1.7059241706161146</v>
      </c>
      <c r="K13">
        <f t="shared" si="3"/>
        <v>69.565881753554535</v>
      </c>
      <c r="L13">
        <f t="shared" si="7"/>
        <v>6956.5881753554531</v>
      </c>
      <c r="M13">
        <f t="shared" si="4"/>
        <v>183.09771000000003</v>
      </c>
      <c r="N13">
        <f t="shared" si="8"/>
        <v>4.2559241706161144</v>
      </c>
      <c r="O13">
        <f t="shared" si="9"/>
        <v>1.2559241706161144</v>
      </c>
      <c r="P13">
        <f t="shared" si="10"/>
        <v>51.21533175355453</v>
      </c>
      <c r="Q13">
        <f t="shared" si="11"/>
        <v>5121.5331753554528</v>
      </c>
      <c r="R13">
        <f t="shared" si="12"/>
        <v>183.09771000000003</v>
      </c>
    </row>
    <row r="14" spans="1:18" x14ac:dyDescent="0.25">
      <c r="A14" t="s">
        <v>29</v>
      </c>
      <c r="B14">
        <v>0.4</v>
      </c>
      <c r="C14">
        <v>0.4</v>
      </c>
      <c r="D14">
        <v>0.69</v>
      </c>
      <c r="E14">
        <v>0.69</v>
      </c>
      <c r="F14">
        <v>104</v>
      </c>
      <c r="G14" s="1">
        <f t="shared" si="5"/>
        <v>36.815715365066275</v>
      </c>
      <c r="H14" s="1">
        <f t="shared" si="6"/>
        <v>36.815715365066275</v>
      </c>
      <c r="I14">
        <f t="shared" si="1"/>
        <v>0.65402843601895733</v>
      </c>
      <c r="J14">
        <f t="shared" si="2"/>
        <v>0.2540284360189573</v>
      </c>
      <c r="K14">
        <f t="shared" si="3"/>
        <v>26.41895734597156</v>
      </c>
      <c r="L14">
        <f t="shared" si="7"/>
        <v>2641.8957345971558</v>
      </c>
      <c r="M14">
        <f t="shared" si="4"/>
        <v>71.759999999999991</v>
      </c>
      <c r="N14">
        <f t="shared" si="8"/>
        <v>0.65402843601895733</v>
      </c>
      <c r="O14">
        <f t="shared" si="9"/>
        <v>0.2540284360189573</v>
      </c>
      <c r="P14">
        <f t="shared" si="10"/>
        <v>26.41895734597156</v>
      </c>
      <c r="Q14">
        <f t="shared" si="11"/>
        <v>2641.8957345971558</v>
      </c>
      <c r="R14">
        <f t="shared" si="12"/>
        <v>71.759999999999991</v>
      </c>
    </row>
    <row r="15" spans="1:18" x14ac:dyDescent="0.25">
      <c r="A15" t="s">
        <v>23</v>
      </c>
      <c r="B15">
        <v>2.0499999999999998</v>
      </c>
      <c r="C15">
        <v>1.8</v>
      </c>
      <c r="D15">
        <v>2.79</v>
      </c>
      <c r="E15">
        <v>2.79</v>
      </c>
      <c r="F15">
        <v>40</v>
      </c>
      <c r="G15" s="1">
        <f t="shared" si="5"/>
        <v>21.310027348859339</v>
      </c>
      <c r="H15" s="1">
        <f t="shared" si="6"/>
        <v>30.270600825561839</v>
      </c>
      <c r="I15">
        <f t="shared" si="1"/>
        <v>2.6445497630331753</v>
      </c>
      <c r="J15">
        <f t="shared" si="2"/>
        <v>0.8445497630331753</v>
      </c>
      <c r="K15">
        <f t="shared" si="3"/>
        <v>33.78199052132701</v>
      </c>
      <c r="L15">
        <f t="shared" si="7"/>
        <v>3378.1990521327011</v>
      </c>
      <c r="M15">
        <f t="shared" si="4"/>
        <v>111.6</v>
      </c>
      <c r="N15">
        <f t="shared" si="8"/>
        <v>2.6445497630331753</v>
      </c>
      <c r="O15">
        <f t="shared" si="9"/>
        <v>0.59454976303317553</v>
      </c>
      <c r="P15">
        <f t="shared" si="10"/>
        <v>23.781990521327021</v>
      </c>
      <c r="Q15">
        <f t="shared" si="11"/>
        <v>2378.199052132702</v>
      </c>
      <c r="R15">
        <f t="shared" si="12"/>
        <v>111.6</v>
      </c>
    </row>
    <row r="16" spans="1:18" x14ac:dyDescent="0.25">
      <c r="A16" t="s">
        <v>30</v>
      </c>
      <c r="B16">
        <v>3</v>
      </c>
      <c r="C16">
        <v>2.5499999999999998</v>
      </c>
      <c r="D16">
        <v>4.49</v>
      </c>
      <c r="E16">
        <v>4.49</v>
      </c>
      <c r="F16">
        <v>60.828000000000003</v>
      </c>
      <c r="G16" s="1">
        <f t="shared" si="5"/>
        <v>27.971585091672925</v>
      </c>
      <c r="H16" s="1">
        <f t="shared" si="6"/>
        <v>37.993856806594977</v>
      </c>
      <c r="I16">
        <f t="shared" si="1"/>
        <v>4.2559241706161144</v>
      </c>
      <c r="J16">
        <f t="shared" si="2"/>
        <v>1.7059241706161146</v>
      </c>
      <c r="K16">
        <f t="shared" si="3"/>
        <v>103.76795545023703</v>
      </c>
      <c r="L16">
        <f t="shared" si="7"/>
        <v>10376.795545023702</v>
      </c>
      <c r="M16">
        <f t="shared" si="4"/>
        <v>273.11772000000002</v>
      </c>
      <c r="N16">
        <f t="shared" si="8"/>
        <v>4.2559241706161144</v>
      </c>
      <c r="O16">
        <f t="shared" si="9"/>
        <v>1.2559241706161144</v>
      </c>
      <c r="P16">
        <f t="shared" si="10"/>
        <v>76.395355450237005</v>
      </c>
      <c r="Q16">
        <f t="shared" si="11"/>
        <v>7639.5355450237003</v>
      </c>
      <c r="R16">
        <f t="shared" si="12"/>
        <v>273.11772000000002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571" priority="188" operator="lessThan">
      <formula>$C$4</formula>
    </cfRule>
  </conditionalFormatting>
  <conditionalFormatting sqref="C4">
    <cfRule type="cellIs" dxfId="3570" priority="187" operator="lessThan">
      <formula>$B$4</formula>
    </cfRule>
  </conditionalFormatting>
  <conditionalFormatting sqref="B5">
    <cfRule type="cellIs" dxfId="3569" priority="186" operator="lessThan">
      <formula>$C$5</formula>
    </cfRule>
  </conditionalFormatting>
  <conditionalFormatting sqref="C5">
    <cfRule type="cellIs" dxfId="3568" priority="185" operator="lessThan">
      <formula>$B$5</formula>
    </cfRule>
  </conditionalFormatting>
  <conditionalFormatting sqref="B6">
    <cfRule type="cellIs" dxfId="3567" priority="184" operator="lessThan">
      <formula>$C$6</formula>
    </cfRule>
  </conditionalFormatting>
  <conditionalFormatting sqref="C6">
    <cfRule type="cellIs" dxfId="3566" priority="183" operator="lessThan">
      <formula>$B$6</formula>
    </cfRule>
  </conditionalFormatting>
  <conditionalFormatting sqref="B7">
    <cfRule type="cellIs" dxfId="3565" priority="182" operator="lessThan">
      <formula>$C$7</formula>
    </cfRule>
  </conditionalFormatting>
  <conditionalFormatting sqref="C7">
    <cfRule type="cellIs" dxfId="3564" priority="181" operator="lessThan">
      <formula>$B$7</formula>
    </cfRule>
  </conditionalFormatting>
  <conditionalFormatting sqref="B8">
    <cfRule type="cellIs" dxfId="3563" priority="180" operator="lessThan">
      <formula>$C$8</formula>
    </cfRule>
  </conditionalFormatting>
  <conditionalFormatting sqref="C8">
    <cfRule type="cellIs" dxfId="3562" priority="179" operator="lessThan">
      <formula>$B$8</formula>
    </cfRule>
  </conditionalFormatting>
  <conditionalFormatting sqref="B9">
    <cfRule type="cellIs" dxfId="3561" priority="178" operator="lessThan">
      <formula>$C$9</formula>
    </cfRule>
  </conditionalFormatting>
  <conditionalFormatting sqref="C9">
    <cfRule type="cellIs" dxfId="3560" priority="177" operator="lessThan">
      <formula>$B$9</formula>
    </cfRule>
  </conditionalFormatting>
  <conditionalFormatting sqref="B10">
    <cfRule type="cellIs" dxfId="3559" priority="176" operator="lessThan">
      <formula>$C$10</formula>
    </cfRule>
  </conditionalFormatting>
  <conditionalFormatting sqref="C10">
    <cfRule type="cellIs" dxfId="3558" priority="175" operator="lessThan">
      <formula>$B$10</formula>
    </cfRule>
  </conditionalFormatting>
  <conditionalFormatting sqref="B11">
    <cfRule type="cellIs" dxfId="3557" priority="174" operator="lessThan">
      <formula>$C$11</formula>
    </cfRule>
  </conditionalFormatting>
  <conditionalFormatting sqref="C11">
    <cfRule type="cellIs" dxfId="3556" priority="173" operator="lessThan">
      <formula>$B$11</formula>
    </cfRule>
  </conditionalFormatting>
  <conditionalFormatting sqref="B12">
    <cfRule type="cellIs" dxfId="3555" priority="172" operator="lessThan">
      <formula>$C$12</formula>
    </cfRule>
  </conditionalFormatting>
  <conditionalFormatting sqref="C12">
    <cfRule type="cellIs" dxfId="3554" priority="171" operator="lessThan">
      <formula>$B$12</formula>
    </cfRule>
  </conditionalFormatting>
  <conditionalFormatting sqref="B13">
    <cfRule type="cellIs" dxfId="3553" priority="170" operator="lessThan">
      <formula>$C$13</formula>
    </cfRule>
  </conditionalFormatting>
  <conditionalFormatting sqref="C13">
    <cfRule type="cellIs" dxfId="3552" priority="169" operator="lessThan">
      <formula>$B$13</formula>
    </cfRule>
  </conditionalFormatting>
  <conditionalFormatting sqref="B14">
    <cfRule type="cellIs" dxfId="3551" priority="168" operator="lessThan">
      <formula>$C$14</formula>
    </cfRule>
  </conditionalFormatting>
  <conditionalFormatting sqref="C14">
    <cfRule type="cellIs" dxfId="3550" priority="167" operator="lessThan">
      <formula>$B$14</formula>
    </cfRule>
  </conditionalFormatting>
  <conditionalFormatting sqref="B15">
    <cfRule type="cellIs" dxfId="3549" priority="166" operator="lessThan">
      <formula>$C$15</formula>
    </cfRule>
  </conditionalFormatting>
  <conditionalFormatting sqref="C15">
    <cfRule type="cellIs" dxfId="3548" priority="165" operator="lessThan">
      <formula>$B$15</formula>
    </cfRule>
  </conditionalFormatting>
  <conditionalFormatting sqref="B16">
    <cfRule type="cellIs" dxfId="3547" priority="164" operator="lessThan">
      <formula>$C$16</formula>
    </cfRule>
  </conditionalFormatting>
  <conditionalFormatting sqref="C16">
    <cfRule type="cellIs" dxfId="3546" priority="163" operator="lessThan">
      <formula>$B$16</formula>
    </cfRule>
  </conditionalFormatting>
  <conditionalFormatting sqref="B17">
    <cfRule type="cellIs" dxfId="3545" priority="162" operator="lessThan">
      <formula>$C$17</formula>
    </cfRule>
  </conditionalFormatting>
  <conditionalFormatting sqref="C17">
    <cfRule type="cellIs" dxfId="3544" priority="161" operator="lessThan">
      <formula>$B$17</formula>
    </cfRule>
  </conditionalFormatting>
  <conditionalFormatting sqref="B18">
    <cfRule type="cellIs" dxfId="3543" priority="160" operator="lessThan">
      <formula>$C$18</formula>
    </cfRule>
  </conditionalFormatting>
  <conditionalFormatting sqref="C18">
    <cfRule type="cellIs" dxfId="3542" priority="159" operator="lessThan">
      <formula>$B$18</formula>
    </cfRule>
  </conditionalFormatting>
  <conditionalFormatting sqref="C19">
    <cfRule type="cellIs" dxfId="3541" priority="158" operator="lessThan">
      <formula>$B$19</formula>
    </cfRule>
  </conditionalFormatting>
  <conditionalFormatting sqref="B19">
    <cfRule type="cellIs" dxfId="3540" priority="157" operator="lessThan">
      <formula>$C$19</formula>
    </cfRule>
  </conditionalFormatting>
  <conditionalFormatting sqref="B20">
    <cfRule type="cellIs" dxfId="3539" priority="156" operator="lessThan">
      <formula>$C$20</formula>
    </cfRule>
  </conditionalFormatting>
  <conditionalFormatting sqref="C20">
    <cfRule type="cellIs" dxfId="3538" priority="155" operator="lessThan">
      <formula>$B$20</formula>
    </cfRule>
  </conditionalFormatting>
  <conditionalFormatting sqref="B21">
    <cfRule type="cellIs" dxfId="3537" priority="154" operator="lessThan">
      <formula>$C$21</formula>
    </cfRule>
  </conditionalFormatting>
  <conditionalFormatting sqref="C21">
    <cfRule type="cellIs" dxfId="3536" priority="153" operator="lessThan">
      <formula>$B$21</formula>
    </cfRule>
  </conditionalFormatting>
  <conditionalFormatting sqref="B22">
    <cfRule type="cellIs" dxfId="3535" priority="152" operator="lessThan">
      <formula>$C$22</formula>
    </cfRule>
  </conditionalFormatting>
  <conditionalFormatting sqref="C22">
    <cfRule type="cellIs" dxfId="3534" priority="151" operator="lessThan">
      <formula>$B$22</formula>
    </cfRule>
  </conditionalFormatting>
  <conditionalFormatting sqref="B23">
    <cfRule type="cellIs" dxfId="3533" priority="150" operator="lessThan">
      <formula>$C$23</formula>
    </cfRule>
  </conditionalFormatting>
  <conditionalFormatting sqref="C23">
    <cfRule type="cellIs" dxfId="3532" priority="149" operator="lessThan">
      <formula>$B$23</formula>
    </cfRule>
  </conditionalFormatting>
  <conditionalFormatting sqref="B24">
    <cfRule type="cellIs" dxfId="3531" priority="148" operator="lessThan">
      <formula>$C$24</formula>
    </cfRule>
  </conditionalFormatting>
  <conditionalFormatting sqref="C24">
    <cfRule type="cellIs" dxfId="3530" priority="147" operator="lessThan">
      <formula>$B$24</formula>
    </cfRule>
  </conditionalFormatting>
  <conditionalFormatting sqref="B25">
    <cfRule type="cellIs" dxfId="3529" priority="146" operator="lessThan">
      <formula>$C$25</formula>
    </cfRule>
  </conditionalFormatting>
  <conditionalFormatting sqref="C25">
    <cfRule type="cellIs" dxfId="3528" priority="145" operator="lessThan">
      <formula>$B$25</formula>
    </cfRule>
  </conditionalFormatting>
  <conditionalFormatting sqref="B26">
    <cfRule type="cellIs" dxfId="3527" priority="144" operator="lessThan">
      <formula>$C$26</formula>
    </cfRule>
  </conditionalFormatting>
  <conditionalFormatting sqref="C26">
    <cfRule type="cellIs" dxfId="3526" priority="143" operator="lessThan">
      <formula>$B$26</formula>
    </cfRule>
  </conditionalFormatting>
  <conditionalFormatting sqref="B27">
    <cfRule type="cellIs" dxfId="3525" priority="142" operator="lessThan">
      <formula>$C$27</formula>
    </cfRule>
  </conditionalFormatting>
  <conditionalFormatting sqref="C27">
    <cfRule type="cellIs" dxfId="3524" priority="141" operator="lessThan">
      <formula>$B$27</formula>
    </cfRule>
  </conditionalFormatting>
  <conditionalFormatting sqref="B28">
    <cfRule type="cellIs" dxfId="3523" priority="140" operator="lessThan">
      <formula>$C$28</formula>
    </cfRule>
  </conditionalFormatting>
  <conditionalFormatting sqref="C28">
    <cfRule type="cellIs" dxfId="3522" priority="139" operator="lessThan">
      <formula>$B$28</formula>
    </cfRule>
  </conditionalFormatting>
  <conditionalFormatting sqref="B29">
    <cfRule type="cellIs" dxfId="3521" priority="138" operator="lessThan">
      <formula>$C$29</formula>
    </cfRule>
  </conditionalFormatting>
  <conditionalFormatting sqref="C29">
    <cfRule type="cellIs" dxfId="3520" priority="137" operator="lessThan">
      <formula>$B$29</formula>
    </cfRule>
  </conditionalFormatting>
  <conditionalFormatting sqref="B30">
    <cfRule type="cellIs" dxfId="3519" priority="136" operator="lessThan">
      <formula>$C$30</formula>
    </cfRule>
  </conditionalFormatting>
  <conditionalFormatting sqref="C30">
    <cfRule type="cellIs" dxfId="3518" priority="135" operator="lessThan">
      <formula>$B$30</formula>
    </cfRule>
  </conditionalFormatting>
  <conditionalFormatting sqref="B31">
    <cfRule type="cellIs" dxfId="3517" priority="134" operator="lessThan">
      <formula>$C$31</formula>
    </cfRule>
  </conditionalFormatting>
  <conditionalFormatting sqref="C31">
    <cfRule type="cellIs" dxfId="3516" priority="133" operator="lessThan">
      <formula>$B$31</formula>
    </cfRule>
  </conditionalFormatting>
  <conditionalFormatting sqref="B32">
    <cfRule type="cellIs" dxfId="3515" priority="132" operator="lessThan">
      <formula>$C$32</formula>
    </cfRule>
  </conditionalFormatting>
  <conditionalFormatting sqref="C32">
    <cfRule type="cellIs" dxfId="3514" priority="131" operator="lessThan">
      <formula>$B$32</formula>
    </cfRule>
  </conditionalFormatting>
  <conditionalFormatting sqref="B33">
    <cfRule type="cellIs" dxfId="3513" priority="130" operator="lessThan">
      <formula>$C$33</formula>
    </cfRule>
  </conditionalFormatting>
  <conditionalFormatting sqref="C33">
    <cfRule type="cellIs" dxfId="3512" priority="129" operator="lessThan">
      <formula>$B$33</formula>
    </cfRule>
  </conditionalFormatting>
  <conditionalFormatting sqref="B34">
    <cfRule type="cellIs" dxfId="3511" priority="128" operator="lessThan">
      <formula>$C$34</formula>
    </cfRule>
  </conditionalFormatting>
  <conditionalFormatting sqref="C34">
    <cfRule type="cellIs" dxfId="3510" priority="127" operator="lessThan">
      <formula>$B$34</formula>
    </cfRule>
  </conditionalFormatting>
  <conditionalFormatting sqref="B35">
    <cfRule type="cellIs" dxfId="3509" priority="126" operator="lessThan">
      <formula>$C$35</formula>
    </cfRule>
  </conditionalFormatting>
  <conditionalFormatting sqref="C35">
    <cfRule type="cellIs" dxfId="3508" priority="125" operator="lessThan">
      <formula>$B$35</formula>
    </cfRule>
  </conditionalFormatting>
  <conditionalFormatting sqref="B36">
    <cfRule type="cellIs" dxfId="3507" priority="124" operator="lessThan">
      <formula>$C$36</formula>
    </cfRule>
  </conditionalFormatting>
  <conditionalFormatting sqref="C36">
    <cfRule type="cellIs" dxfId="3506" priority="123" operator="lessThan">
      <formula>$B$36</formula>
    </cfRule>
  </conditionalFormatting>
  <conditionalFormatting sqref="B37">
    <cfRule type="cellIs" dxfId="3505" priority="122" operator="lessThan">
      <formula>$C$37</formula>
    </cfRule>
  </conditionalFormatting>
  <conditionalFormatting sqref="C37">
    <cfRule type="cellIs" dxfId="3504" priority="121" operator="lessThan">
      <formula>$B$37</formula>
    </cfRule>
  </conditionalFormatting>
  <conditionalFormatting sqref="B38">
    <cfRule type="cellIs" dxfId="3503" priority="120" operator="lessThan">
      <formula>$C$38</formula>
    </cfRule>
  </conditionalFormatting>
  <conditionalFormatting sqref="C38">
    <cfRule type="cellIs" dxfId="3502" priority="119" operator="lessThan">
      <formula>$B$38</formula>
    </cfRule>
  </conditionalFormatting>
  <conditionalFormatting sqref="B39">
    <cfRule type="cellIs" dxfId="3501" priority="118" operator="lessThan">
      <formula>$C$39</formula>
    </cfRule>
  </conditionalFormatting>
  <conditionalFormatting sqref="C39">
    <cfRule type="cellIs" dxfId="3500" priority="117" operator="lessThan">
      <formula>$B$39</formula>
    </cfRule>
  </conditionalFormatting>
  <conditionalFormatting sqref="B40">
    <cfRule type="cellIs" dxfId="3499" priority="116" operator="lessThan">
      <formula>$C$40</formula>
    </cfRule>
  </conditionalFormatting>
  <conditionalFormatting sqref="C40">
    <cfRule type="cellIs" dxfId="3498" priority="115" operator="lessThan">
      <formula>$B$40</formula>
    </cfRule>
  </conditionalFormatting>
  <conditionalFormatting sqref="B41">
    <cfRule type="cellIs" dxfId="3497" priority="114" operator="lessThan">
      <formula>$C$41</formula>
    </cfRule>
  </conditionalFormatting>
  <conditionalFormatting sqref="C41">
    <cfRule type="cellIs" dxfId="3496" priority="113" operator="lessThan">
      <formula>$B$41</formula>
    </cfRule>
  </conditionalFormatting>
  <conditionalFormatting sqref="B42">
    <cfRule type="cellIs" dxfId="3495" priority="112" operator="lessThan">
      <formula>$C$42</formula>
    </cfRule>
  </conditionalFormatting>
  <conditionalFormatting sqref="C42">
    <cfRule type="cellIs" dxfId="3494" priority="111" operator="lessThan">
      <formula>$B$42</formula>
    </cfRule>
  </conditionalFormatting>
  <conditionalFormatting sqref="B43">
    <cfRule type="cellIs" dxfId="3493" priority="110" operator="lessThan">
      <formula>$C$43</formula>
    </cfRule>
  </conditionalFormatting>
  <conditionalFormatting sqref="C43">
    <cfRule type="cellIs" dxfId="3492" priority="109" operator="lessThan">
      <formula>$B$43</formula>
    </cfRule>
  </conditionalFormatting>
  <conditionalFormatting sqref="B44">
    <cfRule type="cellIs" dxfId="3491" priority="108" operator="lessThan">
      <formula>$C$44</formula>
    </cfRule>
  </conditionalFormatting>
  <conditionalFormatting sqref="C44">
    <cfRule type="cellIs" dxfId="3490" priority="107" operator="lessThan">
      <formula>$B$44</formula>
    </cfRule>
  </conditionalFormatting>
  <conditionalFormatting sqref="B45">
    <cfRule type="cellIs" dxfId="3489" priority="106" operator="lessThan">
      <formula>$C$45</formula>
    </cfRule>
  </conditionalFormatting>
  <conditionalFormatting sqref="C45">
    <cfRule type="cellIs" dxfId="3488" priority="105" operator="lessThan">
      <formula>$B$45</formula>
    </cfRule>
  </conditionalFormatting>
  <conditionalFormatting sqref="B46">
    <cfRule type="cellIs" dxfId="3487" priority="104" operator="lessThan">
      <formula>$C$46</formula>
    </cfRule>
  </conditionalFormatting>
  <conditionalFormatting sqref="C46">
    <cfRule type="cellIs" dxfId="3486" priority="103" operator="lessThan">
      <formula>$B$46</formula>
    </cfRule>
  </conditionalFormatting>
  <conditionalFormatting sqref="B47">
    <cfRule type="cellIs" dxfId="3485" priority="102" operator="lessThan">
      <formula>$C$47</formula>
    </cfRule>
  </conditionalFormatting>
  <conditionalFormatting sqref="C47">
    <cfRule type="cellIs" dxfId="3484" priority="101" operator="lessThan">
      <formula>$B$47</formula>
    </cfRule>
  </conditionalFormatting>
  <conditionalFormatting sqref="B48">
    <cfRule type="cellIs" dxfId="3483" priority="100" operator="lessThan">
      <formula>$C$48</formula>
    </cfRule>
  </conditionalFormatting>
  <conditionalFormatting sqref="C48">
    <cfRule type="cellIs" dxfId="3482" priority="99" operator="lessThan">
      <formula>$B$48</formula>
    </cfRule>
  </conditionalFormatting>
  <conditionalFormatting sqref="B49">
    <cfRule type="cellIs" dxfId="3481" priority="98" operator="lessThan">
      <formula>$C$49</formula>
    </cfRule>
  </conditionalFormatting>
  <conditionalFormatting sqref="C49">
    <cfRule type="cellIs" dxfId="3480" priority="97" operator="lessThan">
      <formula>$B$49</formula>
    </cfRule>
  </conditionalFormatting>
  <conditionalFormatting sqref="B50">
    <cfRule type="cellIs" dxfId="3479" priority="96" operator="lessThan">
      <formula>$C$50</formula>
    </cfRule>
  </conditionalFormatting>
  <conditionalFormatting sqref="C50">
    <cfRule type="cellIs" dxfId="3478" priority="95" operator="lessThan">
      <formula>$B$50</formula>
    </cfRule>
  </conditionalFormatting>
  <conditionalFormatting sqref="D4">
    <cfRule type="cellIs" dxfId="3477" priority="94" operator="lessThan">
      <formula>$E$4</formula>
    </cfRule>
  </conditionalFormatting>
  <conditionalFormatting sqref="E4">
    <cfRule type="cellIs" dxfId="3476" priority="93" operator="lessThan">
      <formula>$D$4</formula>
    </cfRule>
  </conditionalFormatting>
  <conditionalFormatting sqref="D5">
    <cfRule type="cellIs" dxfId="3475" priority="92" operator="lessThan">
      <formula>$E$5</formula>
    </cfRule>
  </conditionalFormatting>
  <conditionalFormatting sqref="E5">
    <cfRule type="cellIs" dxfId="3474" priority="91" operator="lessThan">
      <formula>$D$5</formula>
    </cfRule>
  </conditionalFormatting>
  <conditionalFormatting sqref="D6">
    <cfRule type="cellIs" dxfId="3473" priority="90" operator="lessThan">
      <formula>$E$6</formula>
    </cfRule>
  </conditionalFormatting>
  <conditionalFormatting sqref="E6">
    <cfRule type="cellIs" dxfId="3472" priority="89" operator="lessThan">
      <formula>$D$6</formula>
    </cfRule>
  </conditionalFormatting>
  <conditionalFormatting sqref="D7">
    <cfRule type="cellIs" dxfId="3471" priority="88" operator="lessThan">
      <formula>$E$7</formula>
    </cfRule>
  </conditionalFormatting>
  <conditionalFormatting sqref="E7">
    <cfRule type="cellIs" dxfId="3470" priority="87" operator="lessThan">
      <formula>$D$7</formula>
    </cfRule>
  </conditionalFormatting>
  <conditionalFormatting sqref="D8">
    <cfRule type="cellIs" dxfId="3469" priority="86" operator="lessThan">
      <formula>$E$8</formula>
    </cfRule>
  </conditionalFormatting>
  <conditionalFormatting sqref="E8">
    <cfRule type="cellIs" dxfId="3468" priority="85" operator="lessThan">
      <formula>$D$8</formula>
    </cfRule>
  </conditionalFormatting>
  <conditionalFormatting sqref="D9">
    <cfRule type="cellIs" dxfId="3467" priority="84" operator="lessThan">
      <formula>$E$9</formula>
    </cfRule>
  </conditionalFormatting>
  <conditionalFormatting sqref="E9">
    <cfRule type="cellIs" dxfId="3466" priority="83" operator="lessThan">
      <formula>$D$9</formula>
    </cfRule>
  </conditionalFormatting>
  <conditionalFormatting sqref="D10">
    <cfRule type="cellIs" dxfId="3465" priority="82" operator="lessThan">
      <formula>$E$10</formula>
    </cfRule>
  </conditionalFormatting>
  <conditionalFormatting sqref="E10">
    <cfRule type="cellIs" dxfId="3464" priority="81" operator="lessThan">
      <formula>$D$10</formula>
    </cfRule>
  </conditionalFormatting>
  <conditionalFormatting sqref="D11">
    <cfRule type="cellIs" dxfId="3463" priority="80" operator="lessThan">
      <formula>$E$11</formula>
    </cfRule>
  </conditionalFormatting>
  <conditionalFormatting sqref="E11">
    <cfRule type="cellIs" dxfId="3462" priority="79" operator="lessThan">
      <formula>$D$11</formula>
    </cfRule>
  </conditionalFormatting>
  <conditionalFormatting sqref="D12">
    <cfRule type="cellIs" dxfId="3461" priority="78" operator="lessThan">
      <formula>$E$12</formula>
    </cfRule>
  </conditionalFormatting>
  <conditionalFormatting sqref="E12">
    <cfRule type="cellIs" dxfId="3460" priority="77" operator="lessThan">
      <formula>$D$12</formula>
    </cfRule>
  </conditionalFormatting>
  <conditionalFormatting sqref="D13">
    <cfRule type="cellIs" dxfId="3459" priority="76" operator="lessThan">
      <formula>$E$13</formula>
    </cfRule>
  </conditionalFormatting>
  <conditionalFormatting sqref="E13">
    <cfRule type="cellIs" dxfId="3458" priority="75" operator="lessThan">
      <formula>$D$13</formula>
    </cfRule>
  </conditionalFormatting>
  <conditionalFormatting sqref="D14">
    <cfRule type="cellIs" dxfId="3457" priority="74" operator="lessThan">
      <formula>$E$14</formula>
    </cfRule>
  </conditionalFormatting>
  <conditionalFormatting sqref="E14">
    <cfRule type="cellIs" dxfId="3456" priority="73" operator="lessThan">
      <formula>$D$14</formula>
    </cfRule>
  </conditionalFormatting>
  <conditionalFormatting sqref="D15">
    <cfRule type="cellIs" dxfId="3455" priority="72" operator="lessThan">
      <formula>$E$15</formula>
    </cfRule>
  </conditionalFormatting>
  <conditionalFormatting sqref="E15">
    <cfRule type="cellIs" dxfId="3454" priority="71" operator="lessThan">
      <formula>$D$15</formula>
    </cfRule>
  </conditionalFormatting>
  <conditionalFormatting sqref="D16">
    <cfRule type="cellIs" dxfId="3453" priority="70" operator="lessThan">
      <formula>$E$16</formula>
    </cfRule>
  </conditionalFormatting>
  <conditionalFormatting sqref="E16">
    <cfRule type="cellIs" dxfId="3452" priority="69" operator="lessThan">
      <formula>$D$16</formula>
    </cfRule>
  </conditionalFormatting>
  <conditionalFormatting sqref="D17">
    <cfRule type="cellIs" dxfId="3451" priority="68" operator="lessThan">
      <formula>$E$17</formula>
    </cfRule>
  </conditionalFormatting>
  <conditionalFormatting sqref="E17">
    <cfRule type="cellIs" dxfId="3450" priority="67" operator="lessThan">
      <formula>$D$17</formula>
    </cfRule>
  </conditionalFormatting>
  <conditionalFormatting sqref="D18">
    <cfRule type="cellIs" dxfId="3449" priority="66" operator="lessThan">
      <formula>$E$18</formula>
    </cfRule>
  </conditionalFormatting>
  <conditionalFormatting sqref="E18">
    <cfRule type="cellIs" dxfId="3448" priority="65" operator="lessThan">
      <formula>$D$18</formula>
    </cfRule>
  </conditionalFormatting>
  <conditionalFormatting sqref="D19">
    <cfRule type="cellIs" dxfId="3447" priority="64" operator="lessThan">
      <formula>$E$19</formula>
    </cfRule>
  </conditionalFormatting>
  <conditionalFormatting sqref="E19">
    <cfRule type="cellIs" dxfId="3446" priority="63" operator="lessThan">
      <formula>$D$19</formula>
    </cfRule>
  </conditionalFormatting>
  <conditionalFormatting sqref="D20">
    <cfRule type="cellIs" dxfId="3445" priority="62" operator="lessThan">
      <formula>$E$20</formula>
    </cfRule>
  </conditionalFormatting>
  <conditionalFormatting sqref="E20">
    <cfRule type="cellIs" dxfId="3444" priority="61" operator="lessThan">
      <formula>$D$20</formula>
    </cfRule>
  </conditionalFormatting>
  <conditionalFormatting sqref="D21">
    <cfRule type="cellIs" dxfId="3443" priority="60" operator="lessThan">
      <formula>$E$21</formula>
    </cfRule>
  </conditionalFormatting>
  <conditionalFormatting sqref="E21">
    <cfRule type="cellIs" dxfId="3442" priority="59" operator="lessThan">
      <formula>$D$21</formula>
    </cfRule>
  </conditionalFormatting>
  <conditionalFormatting sqref="D22">
    <cfRule type="cellIs" dxfId="3441" priority="58" operator="lessThan">
      <formula>$E$22</formula>
    </cfRule>
  </conditionalFormatting>
  <conditionalFormatting sqref="E22">
    <cfRule type="cellIs" dxfId="3440" priority="57" operator="lessThan">
      <formula>$D$22</formula>
    </cfRule>
  </conditionalFormatting>
  <conditionalFormatting sqref="D23">
    <cfRule type="cellIs" dxfId="3439" priority="56" operator="lessThan">
      <formula>$E$23</formula>
    </cfRule>
  </conditionalFormatting>
  <conditionalFormatting sqref="E23">
    <cfRule type="cellIs" dxfId="3438" priority="55" operator="lessThan">
      <formula>$D$23</formula>
    </cfRule>
  </conditionalFormatting>
  <conditionalFormatting sqref="D24">
    <cfRule type="cellIs" dxfId="3437" priority="54" operator="lessThan">
      <formula>$E$24</formula>
    </cfRule>
  </conditionalFormatting>
  <conditionalFormatting sqref="E24">
    <cfRule type="cellIs" dxfId="3436" priority="53" operator="lessThan">
      <formula>$D$24</formula>
    </cfRule>
  </conditionalFormatting>
  <conditionalFormatting sqref="D25">
    <cfRule type="cellIs" dxfId="3435" priority="52" operator="lessThan">
      <formula>$E$25</formula>
    </cfRule>
  </conditionalFormatting>
  <conditionalFormatting sqref="E25">
    <cfRule type="cellIs" dxfId="3434" priority="51" operator="lessThan">
      <formula>$D$25</formula>
    </cfRule>
  </conditionalFormatting>
  <conditionalFormatting sqref="D26">
    <cfRule type="cellIs" dxfId="3433" priority="50" operator="lessThan">
      <formula>$E$26</formula>
    </cfRule>
  </conditionalFormatting>
  <conditionalFormatting sqref="E26">
    <cfRule type="cellIs" dxfId="3432" priority="49" operator="lessThan">
      <formula>$D$26</formula>
    </cfRule>
  </conditionalFormatting>
  <conditionalFormatting sqref="D27">
    <cfRule type="cellIs" dxfId="3431" priority="48" operator="lessThan">
      <formula>$E$27</formula>
    </cfRule>
  </conditionalFormatting>
  <conditionalFormatting sqref="E27">
    <cfRule type="cellIs" dxfId="3430" priority="47" operator="lessThan">
      <formula>$D$27</formula>
    </cfRule>
  </conditionalFormatting>
  <conditionalFormatting sqref="D28">
    <cfRule type="cellIs" dxfId="3429" priority="46" operator="lessThan">
      <formula>$E$28</formula>
    </cfRule>
  </conditionalFormatting>
  <conditionalFormatting sqref="E28">
    <cfRule type="cellIs" dxfId="3428" priority="45" operator="lessThan">
      <formula>$D$28</formula>
    </cfRule>
  </conditionalFormatting>
  <conditionalFormatting sqref="D29">
    <cfRule type="cellIs" dxfId="3427" priority="44" operator="lessThan">
      <formula>$E$29</formula>
    </cfRule>
  </conditionalFormatting>
  <conditionalFormatting sqref="E29">
    <cfRule type="cellIs" dxfId="3426" priority="43" operator="lessThan">
      <formula>$D$29</formula>
    </cfRule>
  </conditionalFormatting>
  <conditionalFormatting sqref="D30">
    <cfRule type="cellIs" dxfId="3425" priority="42" operator="lessThan">
      <formula>$E$30</formula>
    </cfRule>
  </conditionalFormatting>
  <conditionalFormatting sqref="E30">
    <cfRule type="cellIs" dxfId="3424" priority="41" operator="lessThan">
      <formula>$D$30</formula>
    </cfRule>
  </conditionalFormatting>
  <conditionalFormatting sqref="D31">
    <cfRule type="cellIs" dxfId="3423" priority="40" operator="lessThan">
      <formula>$E$31</formula>
    </cfRule>
  </conditionalFormatting>
  <conditionalFormatting sqref="E31">
    <cfRule type="cellIs" dxfId="3422" priority="39" operator="lessThan">
      <formula>$D$31</formula>
    </cfRule>
  </conditionalFormatting>
  <conditionalFormatting sqref="D32">
    <cfRule type="cellIs" dxfId="3421" priority="38" operator="lessThan">
      <formula>$E$32</formula>
    </cfRule>
  </conditionalFormatting>
  <conditionalFormatting sqref="E32">
    <cfRule type="cellIs" dxfId="3420" priority="37" operator="lessThan">
      <formula>$D$32</formula>
    </cfRule>
  </conditionalFormatting>
  <conditionalFormatting sqref="D33">
    <cfRule type="cellIs" dxfId="3419" priority="36" operator="lessThan">
      <formula>$E$33</formula>
    </cfRule>
  </conditionalFormatting>
  <conditionalFormatting sqref="E33">
    <cfRule type="cellIs" dxfId="3418" priority="35" operator="lessThan">
      <formula>$D$33</formula>
    </cfRule>
  </conditionalFormatting>
  <conditionalFormatting sqref="D34">
    <cfRule type="cellIs" dxfId="3417" priority="34" operator="lessThan">
      <formula>$E$34</formula>
    </cfRule>
  </conditionalFormatting>
  <conditionalFormatting sqref="E34">
    <cfRule type="cellIs" dxfId="3416" priority="33" operator="lessThan">
      <formula>$D$34</formula>
    </cfRule>
  </conditionalFormatting>
  <conditionalFormatting sqref="D35">
    <cfRule type="cellIs" dxfId="3415" priority="32" operator="lessThan">
      <formula>$E$35</formula>
    </cfRule>
  </conditionalFormatting>
  <conditionalFormatting sqref="E35">
    <cfRule type="cellIs" dxfId="3414" priority="31" operator="lessThan">
      <formula>$D$35</formula>
    </cfRule>
  </conditionalFormatting>
  <conditionalFormatting sqref="D36">
    <cfRule type="cellIs" dxfId="3413" priority="30" operator="lessThan">
      <formula>$E$36</formula>
    </cfRule>
  </conditionalFormatting>
  <conditionalFormatting sqref="E36">
    <cfRule type="cellIs" dxfId="3412" priority="29" operator="lessThan">
      <formula>$D$36</formula>
    </cfRule>
  </conditionalFormatting>
  <conditionalFormatting sqref="D37">
    <cfRule type="cellIs" dxfId="3411" priority="28" operator="lessThan">
      <formula>$E$37</formula>
    </cfRule>
  </conditionalFormatting>
  <conditionalFormatting sqref="E37">
    <cfRule type="cellIs" dxfId="3410" priority="27" operator="lessThan">
      <formula>$D$37</formula>
    </cfRule>
  </conditionalFormatting>
  <conditionalFormatting sqref="D38">
    <cfRule type="cellIs" dxfId="3409" priority="26" operator="lessThan">
      <formula>$E$38</formula>
    </cfRule>
  </conditionalFormatting>
  <conditionalFormatting sqref="E38">
    <cfRule type="cellIs" dxfId="3408" priority="25" operator="lessThan">
      <formula>$D$38</formula>
    </cfRule>
  </conditionalFormatting>
  <conditionalFormatting sqref="D39">
    <cfRule type="cellIs" dxfId="3407" priority="24" operator="lessThan">
      <formula>$E$39</formula>
    </cfRule>
  </conditionalFormatting>
  <conditionalFormatting sqref="E39">
    <cfRule type="cellIs" dxfId="3406" priority="23" operator="lessThan">
      <formula>$D$39</formula>
    </cfRule>
  </conditionalFormatting>
  <conditionalFormatting sqref="D40">
    <cfRule type="cellIs" dxfId="3405" priority="22" operator="lessThan">
      <formula>$E$40</formula>
    </cfRule>
  </conditionalFormatting>
  <conditionalFormatting sqref="E40">
    <cfRule type="cellIs" dxfId="3404" priority="21" operator="lessThan">
      <formula>$D$40</formula>
    </cfRule>
  </conditionalFormatting>
  <conditionalFormatting sqref="D41">
    <cfRule type="cellIs" dxfId="3403" priority="20" operator="lessThan">
      <formula>$E$41</formula>
    </cfRule>
  </conditionalFormatting>
  <conditionalFormatting sqref="E41">
    <cfRule type="cellIs" dxfId="3402" priority="19" operator="lessThan">
      <formula>$D$41</formula>
    </cfRule>
  </conditionalFormatting>
  <conditionalFormatting sqref="D42">
    <cfRule type="cellIs" dxfId="3401" priority="18" operator="lessThan">
      <formula>$E$42</formula>
    </cfRule>
  </conditionalFormatting>
  <conditionalFormatting sqref="E42">
    <cfRule type="cellIs" dxfId="3400" priority="17" operator="lessThan">
      <formula>$D$42</formula>
    </cfRule>
  </conditionalFormatting>
  <conditionalFormatting sqref="D43">
    <cfRule type="cellIs" dxfId="3399" priority="16" operator="lessThan">
      <formula>$E$43</formula>
    </cfRule>
  </conditionalFormatting>
  <conditionalFormatting sqref="E43">
    <cfRule type="cellIs" dxfId="3398" priority="15" operator="lessThan">
      <formula>$D$43</formula>
    </cfRule>
  </conditionalFormatting>
  <conditionalFormatting sqref="D44">
    <cfRule type="cellIs" dxfId="3397" priority="14" operator="lessThan">
      <formula>$E$44</formula>
    </cfRule>
  </conditionalFormatting>
  <conditionalFormatting sqref="E44">
    <cfRule type="cellIs" dxfId="3396" priority="13" operator="lessThan">
      <formula>$D$44</formula>
    </cfRule>
  </conditionalFormatting>
  <conditionalFormatting sqref="D45">
    <cfRule type="cellIs" dxfId="3395" priority="12" operator="lessThan">
      <formula>$E$45</formula>
    </cfRule>
  </conditionalFormatting>
  <conditionalFormatting sqref="E45">
    <cfRule type="cellIs" dxfId="3394" priority="11" operator="lessThan">
      <formula>$D$45</formula>
    </cfRule>
  </conditionalFormatting>
  <conditionalFormatting sqref="D46">
    <cfRule type="cellIs" dxfId="3393" priority="10" operator="lessThan">
      <formula>$E$46</formula>
    </cfRule>
  </conditionalFormatting>
  <conditionalFormatting sqref="E46">
    <cfRule type="cellIs" dxfId="3392" priority="9" operator="lessThan">
      <formula>$D$46</formula>
    </cfRule>
  </conditionalFormatting>
  <conditionalFormatting sqref="D47">
    <cfRule type="cellIs" dxfId="3391" priority="8" operator="lessThan">
      <formula>$E$47</formula>
    </cfRule>
  </conditionalFormatting>
  <conditionalFormatting sqref="E47">
    <cfRule type="cellIs" dxfId="3390" priority="7" operator="lessThan">
      <formula>$D$47</formula>
    </cfRule>
  </conditionalFormatting>
  <conditionalFormatting sqref="D48">
    <cfRule type="cellIs" dxfId="3389" priority="6" operator="lessThan">
      <formula>$E$48</formula>
    </cfRule>
  </conditionalFormatting>
  <conditionalFormatting sqref="E48">
    <cfRule type="cellIs" dxfId="3388" priority="5" operator="lessThan">
      <formula>$D$48</formula>
    </cfRule>
  </conditionalFormatting>
  <conditionalFormatting sqref="D49">
    <cfRule type="cellIs" dxfId="3387" priority="4" operator="lessThan">
      <formula>$E$49</formula>
    </cfRule>
  </conditionalFormatting>
  <conditionalFormatting sqref="E49">
    <cfRule type="cellIs" dxfId="3386" priority="3" operator="lessThan">
      <formula>$D$49</formula>
    </cfRule>
  </conditionalFormatting>
  <conditionalFormatting sqref="D50">
    <cfRule type="cellIs" dxfId="3385" priority="2" operator="lessThan">
      <formula>$E$50</formula>
    </cfRule>
  </conditionalFormatting>
  <conditionalFormatting sqref="E50">
    <cfRule type="cellIs" dxfId="3384" priority="1" operator="lessThan">
      <formula>$D$50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21" sqref="E21"/>
    </sheetView>
  </sheetViews>
  <sheetFormatPr baseColWidth="10" defaultRowHeight="15" x14ac:dyDescent="0.25"/>
  <sheetData>
    <row r="1" spans="1:18" x14ac:dyDescent="0.25">
      <c r="A1" s="1"/>
      <c r="B1" s="2">
        <f>AVERAGE(B4:B38)</f>
        <v>2.3864705882352943</v>
      </c>
      <c r="C1" s="2">
        <f>AVERAGE(C4:C30)</f>
        <v>1.96</v>
      </c>
      <c r="D1" s="2">
        <f>AVERAGE(D4:D60)</f>
        <v>3.454705882352942</v>
      </c>
      <c r="E1" s="2">
        <f>AVERAGE(E4:E60)</f>
        <v>3.4605882352941184</v>
      </c>
      <c r="F1" s="1">
        <f>SUM(F4:F50)</f>
        <v>661.69500000000005</v>
      </c>
      <c r="G1" s="1">
        <f>D1-E1</f>
        <v>-5.8823529411764497E-3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25.145609245591267</v>
      </c>
      <c r="H3" s="2">
        <f>L3/M3</f>
        <v>34.370220194956069</v>
      </c>
      <c r="I3" s="4">
        <f t="shared" ref="I3:R3" si="0">SUM(I4:I50)</f>
        <v>55.763033175355453</v>
      </c>
      <c r="J3" s="4">
        <f t="shared" si="0"/>
        <v>22.443033175355463</v>
      </c>
      <c r="K3" s="4">
        <f t="shared" si="0"/>
        <v>654.68758033175391</v>
      </c>
      <c r="L3" s="4">
        <f t="shared" si="0"/>
        <v>65468.758033175385</v>
      </c>
      <c r="M3" s="4">
        <f t="shared" si="0"/>
        <v>1904.8105500000001</v>
      </c>
      <c r="N3" s="4">
        <f t="shared" si="0"/>
        <v>55.668246445497623</v>
      </c>
      <c r="O3" s="4">
        <f t="shared" si="0"/>
        <v>15.098246445497637</v>
      </c>
      <c r="P3" s="4">
        <f t="shared" si="0"/>
        <v>494.38833886255941</v>
      </c>
      <c r="Q3" s="4">
        <f t="shared" si="0"/>
        <v>49438.833886255947</v>
      </c>
      <c r="R3" s="4">
        <f t="shared" si="0"/>
        <v>1966.1020500000002</v>
      </c>
    </row>
    <row r="4" spans="1:18" x14ac:dyDescent="0.25">
      <c r="A4" t="s">
        <v>34</v>
      </c>
      <c r="B4">
        <v>3.4</v>
      </c>
      <c r="C4">
        <v>3.19</v>
      </c>
      <c r="D4">
        <v>5.29</v>
      </c>
      <c r="E4">
        <v>5.29</v>
      </c>
      <c r="F4">
        <v>20</v>
      </c>
      <c r="G4" s="1">
        <f>Q4/R4</f>
        <v>30.514518137593072</v>
      </c>
      <c r="H4" s="1">
        <f>L4/M4</f>
        <v>34.484272390901204</v>
      </c>
      <c r="I4">
        <f t="shared" ref="I4:I51" si="1">E4/1.055</f>
        <v>5.0142180094786735</v>
      </c>
      <c r="J4">
        <f t="shared" ref="J4:J51" si="2">I4-C4</f>
        <v>1.8242180094786735</v>
      </c>
      <c r="K4">
        <f t="shared" ref="K4:K51" si="3">J4*F4</f>
        <v>36.484360189573472</v>
      </c>
      <c r="L4">
        <f>K4*100</f>
        <v>3648.4360189573472</v>
      </c>
      <c r="M4">
        <f t="shared" ref="M4:M51" si="4">E4*F4</f>
        <v>105.8</v>
      </c>
      <c r="N4">
        <f>D4/1.055</f>
        <v>5.0142180094786735</v>
      </c>
      <c r="O4">
        <f>N4-B4</f>
        <v>1.6142180094786736</v>
      </c>
      <c r="P4">
        <f>O4*F4</f>
        <v>32.284360189573469</v>
      </c>
      <c r="Q4">
        <f>P4*100</f>
        <v>3228.4360189573467</v>
      </c>
      <c r="R4">
        <f>D4*F4</f>
        <v>105.8</v>
      </c>
    </row>
    <row r="5" spans="1:18" x14ac:dyDescent="0.25">
      <c r="A5" t="s">
        <v>26</v>
      </c>
      <c r="B5">
        <v>2.4900000000000002</v>
      </c>
      <c r="C5">
        <v>1.39</v>
      </c>
      <c r="D5">
        <v>3.79</v>
      </c>
      <c r="E5">
        <v>4.99</v>
      </c>
      <c r="F5">
        <v>10</v>
      </c>
      <c r="G5" s="1">
        <f t="shared" ref="G5:G51" si="5">Q5/R5</f>
        <v>29.087521414548146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33.398578199052139</v>
      </c>
      <c r="L5">
        <f t="shared" ref="L5:L51" si="7">K5*100</f>
        <v>3339.857819905214</v>
      </c>
      <c r="M5">
        <f t="shared" si="4"/>
        <v>49.900000000000006</v>
      </c>
      <c r="N5">
        <f t="shared" ref="N5:N51" si="8">D5/1.055</f>
        <v>3.5924170616113749</v>
      </c>
      <c r="O5">
        <f t="shared" ref="O5:O51" si="9">N5-B5</f>
        <v>1.1024170616113746</v>
      </c>
      <c r="P5">
        <f t="shared" ref="P5:P51" si="10">O5*F5</f>
        <v>11.024170616113746</v>
      </c>
      <c r="Q5">
        <f t="shared" ref="Q5:Q51" si="11">P5*100</f>
        <v>1102.4170616113747</v>
      </c>
      <c r="R5">
        <f t="shared" ref="R5:R51" si="12">D5*F5</f>
        <v>37.9</v>
      </c>
    </row>
    <row r="6" spans="1:18" x14ac:dyDescent="0.25">
      <c r="A6" t="s">
        <v>10</v>
      </c>
      <c r="B6">
        <v>2.95</v>
      </c>
      <c r="C6">
        <v>2.1</v>
      </c>
      <c r="D6">
        <v>4.49</v>
      </c>
      <c r="E6">
        <v>4.99</v>
      </c>
      <c r="F6">
        <v>15</v>
      </c>
      <c r="G6" s="1">
        <f t="shared" si="5"/>
        <v>29.085170837775365</v>
      </c>
      <c r="H6" s="1">
        <f t="shared" si="6"/>
        <v>52.702561521146563</v>
      </c>
      <c r="I6">
        <f t="shared" si="1"/>
        <v>4.7298578199052139</v>
      </c>
      <c r="J6">
        <f t="shared" si="2"/>
        <v>2.6298578199052138</v>
      </c>
      <c r="K6">
        <f t="shared" si="3"/>
        <v>39.44786729857821</v>
      </c>
      <c r="L6">
        <f t="shared" si="7"/>
        <v>3944.7867298578208</v>
      </c>
      <c r="M6">
        <f t="shared" si="4"/>
        <v>74.850000000000009</v>
      </c>
      <c r="N6">
        <f t="shared" si="8"/>
        <v>4.2559241706161144</v>
      </c>
      <c r="O6">
        <f t="shared" si="9"/>
        <v>1.3059241706161142</v>
      </c>
      <c r="P6">
        <f t="shared" si="10"/>
        <v>19.588862559241711</v>
      </c>
      <c r="Q6">
        <f t="shared" si="11"/>
        <v>1958.8862559241711</v>
      </c>
      <c r="R6">
        <f t="shared" si="12"/>
        <v>67.350000000000009</v>
      </c>
    </row>
    <row r="7" spans="1:18" x14ac:dyDescent="0.25">
      <c r="A7" t="s">
        <v>31</v>
      </c>
      <c r="B7">
        <v>3.55</v>
      </c>
      <c r="C7">
        <v>2.9</v>
      </c>
      <c r="D7">
        <v>4.99</v>
      </c>
      <c r="E7">
        <v>4.49</v>
      </c>
      <c r="F7">
        <v>150</v>
      </c>
      <c r="G7" s="1">
        <f t="shared" si="5"/>
        <v>23.644445288681645</v>
      </c>
      <c r="H7" s="1">
        <f t="shared" si="6"/>
        <v>30.198756583877831</v>
      </c>
      <c r="I7">
        <f t="shared" si="1"/>
        <v>4.2559241706161144</v>
      </c>
      <c r="J7">
        <f t="shared" si="2"/>
        <v>1.3559241706161145</v>
      </c>
      <c r="K7">
        <f t="shared" si="3"/>
        <v>203.38862559241718</v>
      </c>
      <c r="L7">
        <f t="shared" si="7"/>
        <v>20338.862559241719</v>
      </c>
      <c r="M7">
        <f t="shared" si="4"/>
        <v>673.5</v>
      </c>
      <c r="N7">
        <f t="shared" si="8"/>
        <v>4.7298578199052139</v>
      </c>
      <c r="O7">
        <f t="shared" si="9"/>
        <v>1.1798578199052141</v>
      </c>
      <c r="P7">
        <f t="shared" si="10"/>
        <v>176.97867298578211</v>
      </c>
      <c r="Q7">
        <f t="shared" si="11"/>
        <v>17697.86729857821</v>
      </c>
      <c r="R7">
        <f t="shared" si="12"/>
        <v>748.5</v>
      </c>
    </row>
    <row r="8" spans="1:18" x14ac:dyDescent="0.25">
      <c r="A8" t="s">
        <v>12</v>
      </c>
      <c r="B8">
        <v>2.75</v>
      </c>
      <c r="C8">
        <v>1.69</v>
      </c>
      <c r="D8">
        <v>3.99</v>
      </c>
      <c r="E8">
        <v>2.99</v>
      </c>
      <c r="F8">
        <v>20</v>
      </c>
      <c r="G8" s="1">
        <f t="shared" si="5"/>
        <v>25.864424093408893</v>
      </c>
      <c r="H8" s="1">
        <f t="shared" si="6"/>
        <v>38.264990727385126</v>
      </c>
      <c r="I8">
        <f t="shared" si="1"/>
        <v>2.8341232227488153</v>
      </c>
      <c r="J8">
        <f t="shared" si="2"/>
        <v>1.1441232227488154</v>
      </c>
      <c r="K8">
        <f t="shared" si="3"/>
        <v>22.882464454976308</v>
      </c>
      <c r="L8">
        <f t="shared" si="7"/>
        <v>2288.2464454976307</v>
      </c>
      <c r="M8">
        <f t="shared" si="4"/>
        <v>59.800000000000004</v>
      </c>
      <c r="N8">
        <f t="shared" si="8"/>
        <v>3.7819905213270149</v>
      </c>
      <c r="O8">
        <f t="shared" si="9"/>
        <v>1.0319905213270149</v>
      </c>
      <c r="P8">
        <f t="shared" si="10"/>
        <v>20.639810426540297</v>
      </c>
      <c r="Q8">
        <f t="shared" si="11"/>
        <v>2063.9810426540298</v>
      </c>
      <c r="R8">
        <f t="shared" si="12"/>
        <v>79.800000000000011</v>
      </c>
    </row>
    <row r="9" spans="1:18" x14ac:dyDescent="0.25">
      <c r="A9" t="s">
        <v>25</v>
      </c>
      <c r="B9">
        <v>2.8</v>
      </c>
      <c r="C9">
        <v>2.39</v>
      </c>
      <c r="D9">
        <v>3.99</v>
      </c>
      <c r="E9">
        <v>3.99</v>
      </c>
      <c r="F9">
        <v>10</v>
      </c>
      <c r="G9" s="1">
        <f t="shared" si="5"/>
        <v>24.611291261328695</v>
      </c>
      <c r="H9" s="1">
        <f t="shared" si="6"/>
        <v>34.886980484386335</v>
      </c>
      <c r="I9">
        <f t="shared" si="1"/>
        <v>3.7819905213270149</v>
      </c>
      <c r="J9">
        <f t="shared" si="2"/>
        <v>1.3919905213270147</v>
      </c>
      <c r="K9">
        <f t="shared" si="3"/>
        <v>13.919905213270148</v>
      </c>
      <c r="L9">
        <f t="shared" si="7"/>
        <v>1391.9905213270149</v>
      </c>
      <c r="M9">
        <f t="shared" si="4"/>
        <v>39.900000000000006</v>
      </c>
      <c r="N9">
        <f t="shared" si="8"/>
        <v>3.7819905213270149</v>
      </c>
      <c r="O9">
        <f t="shared" si="9"/>
        <v>0.98199052132701503</v>
      </c>
      <c r="P9">
        <f t="shared" si="10"/>
        <v>9.8199052132701503</v>
      </c>
      <c r="Q9">
        <f t="shared" si="11"/>
        <v>981.99052132701502</v>
      </c>
      <c r="R9">
        <f t="shared" si="12"/>
        <v>39.900000000000006</v>
      </c>
    </row>
    <row r="10" spans="1:18" x14ac:dyDescent="0.25">
      <c r="A10" t="s">
        <v>28</v>
      </c>
      <c r="B10">
        <v>1.45</v>
      </c>
      <c r="C10">
        <v>1.4</v>
      </c>
      <c r="D10">
        <v>1.89</v>
      </c>
      <c r="E10">
        <v>1.99</v>
      </c>
      <c r="F10">
        <v>18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8.7526066350710945</v>
      </c>
      <c r="L10">
        <f t="shared" si="7"/>
        <v>875.26066350710948</v>
      </c>
      <c r="M10">
        <f t="shared" si="4"/>
        <v>35.82</v>
      </c>
      <c r="N10">
        <f t="shared" si="8"/>
        <v>1.7914691943127963</v>
      </c>
      <c r="O10">
        <f t="shared" si="9"/>
        <v>0.34146919431279632</v>
      </c>
      <c r="P10">
        <f t="shared" si="10"/>
        <v>6.1464454976303333</v>
      </c>
      <c r="Q10">
        <f t="shared" si="11"/>
        <v>614.6445497630333</v>
      </c>
      <c r="R10">
        <f t="shared" si="12"/>
        <v>34.019999999999996</v>
      </c>
    </row>
    <row r="11" spans="1:18" x14ac:dyDescent="0.25">
      <c r="A11" t="s">
        <v>14</v>
      </c>
      <c r="B11">
        <v>1.45</v>
      </c>
      <c r="C11">
        <v>1.4</v>
      </c>
      <c r="D11">
        <v>1.89</v>
      </c>
      <c r="E11">
        <v>1.99</v>
      </c>
      <c r="F11">
        <v>24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11.670142180094793</v>
      </c>
      <c r="L11">
        <f t="shared" si="7"/>
        <v>1167.0142180094792</v>
      </c>
      <c r="M11">
        <f t="shared" si="4"/>
        <v>47.76</v>
      </c>
      <c r="N11">
        <f t="shared" si="8"/>
        <v>1.7914691943127963</v>
      </c>
      <c r="O11">
        <f t="shared" si="9"/>
        <v>0.34146919431279632</v>
      </c>
      <c r="P11">
        <f t="shared" si="10"/>
        <v>8.1952606635071117</v>
      </c>
      <c r="Q11">
        <f t="shared" si="11"/>
        <v>819.52606635071118</v>
      </c>
      <c r="R11">
        <f t="shared" si="12"/>
        <v>45.36</v>
      </c>
    </row>
    <row r="12" spans="1:18" x14ac:dyDescent="0.25">
      <c r="A12" t="s">
        <v>15</v>
      </c>
      <c r="B12">
        <v>1.45</v>
      </c>
      <c r="C12">
        <v>1.4</v>
      </c>
      <c r="D12">
        <v>1.89</v>
      </c>
      <c r="E12">
        <v>1.99</v>
      </c>
      <c r="F12">
        <v>36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17.505213270142189</v>
      </c>
      <c r="L12">
        <f t="shared" si="7"/>
        <v>1750.521327014219</v>
      </c>
      <c r="M12">
        <f t="shared" si="4"/>
        <v>71.64</v>
      </c>
      <c r="N12">
        <f t="shared" si="8"/>
        <v>1.7914691943127963</v>
      </c>
      <c r="O12">
        <f t="shared" si="9"/>
        <v>0.34146919431279632</v>
      </c>
      <c r="P12">
        <f t="shared" si="10"/>
        <v>12.292890995260667</v>
      </c>
      <c r="Q12">
        <f t="shared" si="11"/>
        <v>1229.2890995260666</v>
      </c>
      <c r="R12">
        <f t="shared" si="12"/>
        <v>68.039999999999992</v>
      </c>
    </row>
    <row r="13" spans="1:18" x14ac:dyDescent="0.25">
      <c r="A13" t="s">
        <v>32</v>
      </c>
      <c r="B13">
        <v>2.9</v>
      </c>
      <c r="C13">
        <v>2.59</v>
      </c>
      <c r="D13">
        <v>4.1900000000000004</v>
      </c>
      <c r="E13">
        <v>4.49</v>
      </c>
      <c r="F13">
        <v>39.42</v>
      </c>
      <c r="G13" s="1">
        <f t="shared" si="5"/>
        <v>25.57431935662661</v>
      </c>
      <c r="H13" s="1">
        <f t="shared" si="6"/>
        <v>37.102988209713025</v>
      </c>
      <c r="I13">
        <f t="shared" si="1"/>
        <v>4.2559241706161144</v>
      </c>
      <c r="J13">
        <f t="shared" si="2"/>
        <v>1.6659241706161145</v>
      </c>
      <c r="K13">
        <f t="shared" si="3"/>
        <v>65.670730805687242</v>
      </c>
      <c r="L13">
        <f t="shared" si="7"/>
        <v>6567.0730805687244</v>
      </c>
      <c r="M13">
        <f t="shared" si="4"/>
        <v>176.9958</v>
      </c>
      <c r="N13">
        <f t="shared" si="8"/>
        <v>3.9715639810426548</v>
      </c>
      <c r="O13">
        <f t="shared" si="9"/>
        <v>1.0715639810426549</v>
      </c>
      <c r="P13">
        <f t="shared" si="10"/>
        <v>42.241052132701462</v>
      </c>
      <c r="Q13">
        <f t="shared" si="11"/>
        <v>4224.1052132701461</v>
      </c>
      <c r="R13">
        <f t="shared" si="12"/>
        <v>165.16980000000001</v>
      </c>
    </row>
    <row r="14" spans="1:18" x14ac:dyDescent="0.25">
      <c r="A14" t="s">
        <v>17</v>
      </c>
      <c r="B14">
        <v>2.95</v>
      </c>
      <c r="C14">
        <v>2.6</v>
      </c>
      <c r="D14">
        <v>4.49</v>
      </c>
      <c r="E14">
        <v>4.99</v>
      </c>
      <c r="F14">
        <v>10</v>
      </c>
      <c r="G14" s="1">
        <f t="shared" si="5"/>
        <v>29.085170837775369</v>
      </c>
      <c r="H14" s="1">
        <f t="shared" si="6"/>
        <v>42.682521440986235</v>
      </c>
      <c r="I14">
        <f t="shared" si="1"/>
        <v>4.7298578199052139</v>
      </c>
      <c r="J14">
        <f t="shared" si="2"/>
        <v>2.1298578199052138</v>
      </c>
      <c r="K14">
        <f t="shared" si="3"/>
        <v>21.298578199052137</v>
      </c>
      <c r="L14">
        <f t="shared" si="7"/>
        <v>2129.8578199052135</v>
      </c>
      <c r="M14">
        <f t="shared" si="4"/>
        <v>49.900000000000006</v>
      </c>
      <c r="N14">
        <f t="shared" si="8"/>
        <v>4.2559241706161144</v>
      </c>
      <c r="O14">
        <f t="shared" si="9"/>
        <v>1.3059241706161142</v>
      </c>
      <c r="P14">
        <f t="shared" si="10"/>
        <v>13.059241706161142</v>
      </c>
      <c r="Q14">
        <f t="shared" si="11"/>
        <v>1305.9241706161142</v>
      </c>
      <c r="R14">
        <f t="shared" si="12"/>
        <v>44.900000000000006</v>
      </c>
    </row>
    <row r="15" spans="1:18" x14ac:dyDescent="0.25">
      <c r="A15" t="s">
        <v>18</v>
      </c>
      <c r="B15">
        <v>1.1000000000000001</v>
      </c>
      <c r="C15">
        <v>0.9</v>
      </c>
      <c r="D15">
        <v>1.59</v>
      </c>
      <c r="E15">
        <v>1.49</v>
      </c>
      <c r="F15">
        <v>144</v>
      </c>
      <c r="G15" s="1">
        <f t="shared" si="5"/>
        <v>25.604339920712995</v>
      </c>
      <c r="H15" s="1">
        <f t="shared" si="6"/>
        <v>34.384045294061529</v>
      </c>
      <c r="I15">
        <f t="shared" si="1"/>
        <v>1.4123222748815167</v>
      </c>
      <c r="J15">
        <f t="shared" si="2"/>
        <v>0.51232227488151671</v>
      </c>
      <c r="K15">
        <f t="shared" si="3"/>
        <v>73.774407582938409</v>
      </c>
      <c r="L15">
        <f t="shared" si="7"/>
        <v>7377.4407582938411</v>
      </c>
      <c r="M15">
        <f t="shared" si="4"/>
        <v>214.56</v>
      </c>
      <c r="N15">
        <f t="shared" si="8"/>
        <v>1.5071090047393367</v>
      </c>
      <c r="O15">
        <f t="shared" si="9"/>
        <v>0.40710900473933664</v>
      </c>
      <c r="P15">
        <f t="shared" si="10"/>
        <v>58.623696682464477</v>
      </c>
      <c r="Q15">
        <f t="shared" si="11"/>
        <v>5862.3696682464479</v>
      </c>
      <c r="R15">
        <f t="shared" si="12"/>
        <v>228.96</v>
      </c>
    </row>
    <row r="16" spans="1:18" x14ac:dyDescent="0.25">
      <c r="A16" t="s">
        <v>19</v>
      </c>
      <c r="B16">
        <v>2.9</v>
      </c>
      <c r="C16">
        <v>2.59</v>
      </c>
      <c r="D16">
        <v>4.1900000000000004</v>
      </c>
      <c r="E16">
        <v>4.49</v>
      </c>
      <c r="F16">
        <v>34.274999999999999</v>
      </c>
      <c r="G16" s="1">
        <f t="shared" si="5"/>
        <v>25.574319356626603</v>
      </c>
      <c r="H16" s="1">
        <f t="shared" si="6"/>
        <v>37.102988209713018</v>
      </c>
      <c r="I16">
        <f t="shared" si="1"/>
        <v>4.2559241706161144</v>
      </c>
      <c r="J16">
        <f t="shared" si="2"/>
        <v>1.6659241706161145</v>
      </c>
      <c r="K16">
        <f t="shared" si="3"/>
        <v>57.099550947867321</v>
      </c>
      <c r="L16">
        <f t="shared" si="7"/>
        <v>5709.9550947867319</v>
      </c>
      <c r="M16">
        <f t="shared" si="4"/>
        <v>153.89474999999999</v>
      </c>
      <c r="N16">
        <f t="shared" si="8"/>
        <v>3.9715639810426548</v>
      </c>
      <c r="O16">
        <f t="shared" si="9"/>
        <v>1.0715639810426549</v>
      </c>
      <c r="P16">
        <f t="shared" si="10"/>
        <v>36.727855450236994</v>
      </c>
      <c r="Q16">
        <f t="shared" si="11"/>
        <v>3672.7855450236993</v>
      </c>
      <c r="R16">
        <f t="shared" si="12"/>
        <v>143.61225000000002</v>
      </c>
    </row>
    <row r="17" spans="1:18" x14ac:dyDescent="0.25">
      <c r="A17" t="s">
        <v>21</v>
      </c>
      <c r="B17">
        <v>1.45</v>
      </c>
      <c r="C17">
        <v>1.4</v>
      </c>
      <c r="D17">
        <v>1.89</v>
      </c>
      <c r="E17">
        <v>1.99</v>
      </c>
      <c r="F17">
        <v>12</v>
      </c>
      <c r="G17" s="1">
        <f t="shared" si="5"/>
        <v>18.067153138243192</v>
      </c>
      <c r="H17" s="1">
        <f t="shared" si="6"/>
        <v>24.434971063850067</v>
      </c>
      <c r="I17">
        <f t="shared" si="1"/>
        <v>1.8862559241706163</v>
      </c>
      <c r="J17">
        <f t="shared" si="2"/>
        <v>0.48625592417061636</v>
      </c>
      <c r="K17">
        <f t="shared" si="3"/>
        <v>5.8350710900473963</v>
      </c>
      <c r="L17">
        <f t="shared" si="7"/>
        <v>583.50710900473962</v>
      </c>
      <c r="M17">
        <f t="shared" si="4"/>
        <v>23.88</v>
      </c>
      <c r="N17">
        <f t="shared" si="8"/>
        <v>1.7914691943127963</v>
      </c>
      <c r="O17">
        <f t="shared" si="9"/>
        <v>0.34146919431279632</v>
      </c>
      <c r="P17">
        <f t="shared" si="10"/>
        <v>4.0976303317535558</v>
      </c>
      <c r="Q17">
        <f t="shared" si="11"/>
        <v>409.76303317535559</v>
      </c>
      <c r="R17">
        <f t="shared" si="12"/>
        <v>22.68</v>
      </c>
    </row>
    <row r="18" spans="1:18" x14ac:dyDescent="0.25">
      <c r="A18" t="s">
        <v>11</v>
      </c>
      <c r="B18">
        <v>4.59</v>
      </c>
      <c r="C18">
        <v>2.99</v>
      </c>
      <c r="D18">
        <v>6.49</v>
      </c>
      <c r="E18">
        <v>4.99</v>
      </c>
      <c r="F18">
        <v>5</v>
      </c>
      <c r="G18" s="1">
        <f t="shared" si="5"/>
        <v>24.0625387946458</v>
      </c>
      <c r="H18" s="1">
        <f t="shared" si="6"/>
        <v>34.866890178461198</v>
      </c>
      <c r="I18">
        <f t="shared" si="1"/>
        <v>4.7298578199052139</v>
      </c>
      <c r="J18">
        <f t="shared" si="2"/>
        <v>1.7398578199052137</v>
      </c>
      <c r="K18">
        <f t="shared" si="3"/>
        <v>8.6992890995260694</v>
      </c>
      <c r="L18">
        <f t="shared" si="7"/>
        <v>869.928909952607</v>
      </c>
      <c r="M18">
        <f t="shared" si="4"/>
        <v>24.950000000000003</v>
      </c>
      <c r="N18">
        <f t="shared" si="8"/>
        <v>6.1516587677725125</v>
      </c>
      <c r="O18">
        <f t="shared" si="9"/>
        <v>1.5616587677725127</v>
      </c>
      <c r="P18">
        <f t="shared" si="10"/>
        <v>7.8082938388625633</v>
      </c>
      <c r="Q18">
        <f t="shared" si="11"/>
        <v>780.82938388625632</v>
      </c>
      <c r="R18">
        <f t="shared" si="12"/>
        <v>32.450000000000003</v>
      </c>
    </row>
    <row r="19" spans="1:18" x14ac:dyDescent="0.25">
      <c r="A19" t="s">
        <v>29</v>
      </c>
      <c r="B19">
        <v>0.4</v>
      </c>
      <c r="C19">
        <v>0.4</v>
      </c>
      <c r="D19">
        <v>0.69</v>
      </c>
      <c r="E19">
        <v>0.69</v>
      </c>
      <c r="F19">
        <v>104</v>
      </c>
      <c r="G19" s="1">
        <f t="shared" si="5"/>
        <v>36.815715365066275</v>
      </c>
      <c r="H19" s="1">
        <f t="shared" si="6"/>
        <v>36.815715365066275</v>
      </c>
      <c r="I19">
        <f t="shared" si="1"/>
        <v>0.65402843601895733</v>
      </c>
      <c r="J19">
        <f t="shared" si="2"/>
        <v>0.2540284360189573</v>
      </c>
      <c r="K19">
        <f t="shared" si="3"/>
        <v>26.41895734597156</v>
      </c>
      <c r="L19">
        <f t="shared" si="7"/>
        <v>2641.8957345971558</v>
      </c>
      <c r="M19">
        <f t="shared" si="4"/>
        <v>71.759999999999991</v>
      </c>
      <c r="N19">
        <f t="shared" si="8"/>
        <v>0.65402843601895733</v>
      </c>
      <c r="O19">
        <f t="shared" si="9"/>
        <v>0.2540284360189573</v>
      </c>
      <c r="P19">
        <f t="shared" si="10"/>
        <v>26.41895734597156</v>
      </c>
      <c r="Q19">
        <f t="shared" si="11"/>
        <v>2641.8957345971558</v>
      </c>
      <c r="R19">
        <f t="shared" si="12"/>
        <v>71.759999999999991</v>
      </c>
    </row>
    <row r="20" spans="1:18" x14ac:dyDescent="0.25">
      <c r="A20" t="s">
        <v>33</v>
      </c>
      <c r="B20">
        <v>1.99</v>
      </c>
      <c r="C20">
        <v>1.99</v>
      </c>
      <c r="D20">
        <v>2.99</v>
      </c>
      <c r="E20">
        <v>2.99</v>
      </c>
      <c r="F20">
        <v>10</v>
      </c>
      <c r="G20" s="1">
        <f t="shared" si="5"/>
        <v>28.231545911331615</v>
      </c>
      <c r="H20" s="1">
        <f t="shared" si="6"/>
        <v>28.231545911331615</v>
      </c>
      <c r="I20">
        <f t="shared" si="1"/>
        <v>2.8341232227488153</v>
      </c>
      <c r="J20">
        <f t="shared" si="2"/>
        <v>0.84412322274881535</v>
      </c>
      <c r="K20">
        <f t="shared" si="3"/>
        <v>8.4412322274881539</v>
      </c>
      <c r="L20">
        <f t="shared" si="7"/>
        <v>844.12322274881535</v>
      </c>
      <c r="M20">
        <f t="shared" si="4"/>
        <v>29.900000000000002</v>
      </c>
      <c r="N20">
        <f t="shared" si="8"/>
        <v>2.8341232227488153</v>
      </c>
      <c r="O20">
        <f t="shared" si="9"/>
        <v>0.84412322274881535</v>
      </c>
      <c r="P20">
        <f t="shared" si="10"/>
        <v>8.4412322274881539</v>
      </c>
      <c r="Q20">
        <f t="shared" si="11"/>
        <v>844.12322274881535</v>
      </c>
      <c r="R20">
        <f t="shared" si="12"/>
        <v>29.900000000000002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383" priority="188" operator="lessThan">
      <formula>$C$4</formula>
    </cfRule>
  </conditionalFormatting>
  <conditionalFormatting sqref="C4">
    <cfRule type="cellIs" dxfId="3382" priority="187" operator="lessThan">
      <formula>$B$4</formula>
    </cfRule>
  </conditionalFormatting>
  <conditionalFormatting sqref="B5">
    <cfRule type="cellIs" dxfId="3381" priority="186" operator="lessThan">
      <formula>$C$5</formula>
    </cfRule>
  </conditionalFormatting>
  <conditionalFormatting sqref="C5">
    <cfRule type="cellIs" dxfId="3380" priority="185" operator="lessThan">
      <formula>$B$5</formula>
    </cfRule>
  </conditionalFormatting>
  <conditionalFormatting sqref="B6">
    <cfRule type="cellIs" dxfId="3379" priority="184" operator="lessThan">
      <formula>$C$6</formula>
    </cfRule>
  </conditionalFormatting>
  <conditionalFormatting sqref="C6">
    <cfRule type="cellIs" dxfId="3378" priority="183" operator="lessThan">
      <formula>$B$6</formula>
    </cfRule>
  </conditionalFormatting>
  <conditionalFormatting sqref="B7">
    <cfRule type="cellIs" dxfId="3377" priority="182" operator="lessThan">
      <formula>$C$7</formula>
    </cfRule>
  </conditionalFormatting>
  <conditionalFormatting sqref="C7">
    <cfRule type="cellIs" dxfId="3376" priority="181" operator="lessThan">
      <formula>$B$7</formula>
    </cfRule>
  </conditionalFormatting>
  <conditionalFormatting sqref="B8">
    <cfRule type="cellIs" dxfId="3375" priority="180" operator="lessThan">
      <formula>$C$8</formula>
    </cfRule>
  </conditionalFormatting>
  <conditionalFormatting sqref="C8">
    <cfRule type="cellIs" dxfId="3374" priority="179" operator="lessThan">
      <formula>$B$8</formula>
    </cfRule>
  </conditionalFormatting>
  <conditionalFormatting sqref="B9">
    <cfRule type="cellIs" dxfId="3373" priority="178" operator="lessThan">
      <formula>$C$9</formula>
    </cfRule>
  </conditionalFormatting>
  <conditionalFormatting sqref="C9">
    <cfRule type="cellIs" dxfId="3372" priority="177" operator="lessThan">
      <formula>$B$9</formula>
    </cfRule>
  </conditionalFormatting>
  <conditionalFormatting sqref="B10">
    <cfRule type="cellIs" dxfId="3371" priority="176" operator="lessThan">
      <formula>$C$10</formula>
    </cfRule>
  </conditionalFormatting>
  <conditionalFormatting sqref="C10">
    <cfRule type="cellIs" dxfId="3370" priority="175" operator="lessThan">
      <formula>$B$10</formula>
    </cfRule>
  </conditionalFormatting>
  <conditionalFormatting sqref="B11">
    <cfRule type="cellIs" dxfId="3369" priority="174" operator="lessThan">
      <formula>$C$11</formula>
    </cfRule>
  </conditionalFormatting>
  <conditionalFormatting sqref="C11">
    <cfRule type="cellIs" dxfId="3368" priority="173" operator="lessThan">
      <formula>$B$11</formula>
    </cfRule>
  </conditionalFormatting>
  <conditionalFormatting sqref="B12">
    <cfRule type="cellIs" dxfId="3367" priority="172" operator="lessThan">
      <formula>$C$12</formula>
    </cfRule>
  </conditionalFormatting>
  <conditionalFormatting sqref="C12">
    <cfRule type="cellIs" dxfId="3366" priority="171" operator="lessThan">
      <formula>$B$12</formula>
    </cfRule>
  </conditionalFormatting>
  <conditionalFormatting sqref="B13">
    <cfRule type="cellIs" dxfId="3365" priority="170" operator="lessThan">
      <formula>$C$13</formula>
    </cfRule>
  </conditionalFormatting>
  <conditionalFormatting sqref="C13">
    <cfRule type="cellIs" dxfId="3364" priority="169" operator="lessThan">
      <formula>$B$13</formula>
    </cfRule>
  </conditionalFormatting>
  <conditionalFormatting sqref="B14">
    <cfRule type="cellIs" dxfId="3363" priority="168" operator="lessThan">
      <formula>$C$14</formula>
    </cfRule>
  </conditionalFormatting>
  <conditionalFormatting sqref="C14">
    <cfRule type="cellIs" dxfId="3362" priority="167" operator="lessThan">
      <formula>$B$14</formula>
    </cfRule>
  </conditionalFormatting>
  <conditionalFormatting sqref="B15">
    <cfRule type="cellIs" dxfId="3361" priority="166" operator="lessThan">
      <formula>$C$15</formula>
    </cfRule>
  </conditionalFormatting>
  <conditionalFormatting sqref="C15">
    <cfRule type="cellIs" dxfId="3360" priority="165" operator="lessThan">
      <formula>$B$15</formula>
    </cfRule>
  </conditionalFormatting>
  <conditionalFormatting sqref="B16">
    <cfRule type="cellIs" dxfId="3359" priority="164" operator="lessThan">
      <formula>$C$16</formula>
    </cfRule>
  </conditionalFormatting>
  <conditionalFormatting sqref="C16">
    <cfRule type="cellIs" dxfId="3358" priority="163" operator="lessThan">
      <formula>$B$16</formula>
    </cfRule>
  </conditionalFormatting>
  <conditionalFormatting sqref="B17">
    <cfRule type="cellIs" dxfId="3357" priority="162" operator="lessThan">
      <formula>$C$17</formula>
    </cfRule>
  </conditionalFormatting>
  <conditionalFormatting sqref="C17">
    <cfRule type="cellIs" dxfId="3356" priority="161" operator="lessThan">
      <formula>$B$17</formula>
    </cfRule>
  </conditionalFormatting>
  <conditionalFormatting sqref="B18">
    <cfRule type="cellIs" dxfId="3355" priority="160" operator="lessThan">
      <formula>$C$18</formula>
    </cfRule>
  </conditionalFormatting>
  <conditionalFormatting sqref="C18">
    <cfRule type="cellIs" dxfId="3354" priority="159" operator="lessThan">
      <formula>$B$18</formula>
    </cfRule>
  </conditionalFormatting>
  <conditionalFormatting sqref="C19">
    <cfRule type="cellIs" dxfId="3353" priority="158" operator="lessThan">
      <formula>$B$19</formula>
    </cfRule>
  </conditionalFormatting>
  <conditionalFormatting sqref="B19">
    <cfRule type="cellIs" dxfId="3352" priority="157" operator="lessThan">
      <formula>$C$19</formula>
    </cfRule>
  </conditionalFormatting>
  <conditionalFormatting sqref="B20">
    <cfRule type="cellIs" dxfId="3351" priority="156" operator="lessThan">
      <formula>$C$20</formula>
    </cfRule>
  </conditionalFormatting>
  <conditionalFormatting sqref="C20">
    <cfRule type="cellIs" dxfId="3350" priority="155" operator="lessThan">
      <formula>$B$20</formula>
    </cfRule>
  </conditionalFormatting>
  <conditionalFormatting sqref="B21">
    <cfRule type="cellIs" dxfId="3349" priority="154" operator="lessThan">
      <formula>$C$21</formula>
    </cfRule>
  </conditionalFormatting>
  <conditionalFormatting sqref="C21">
    <cfRule type="cellIs" dxfId="3348" priority="153" operator="lessThan">
      <formula>$B$21</formula>
    </cfRule>
  </conditionalFormatting>
  <conditionalFormatting sqref="B22">
    <cfRule type="cellIs" dxfId="3347" priority="152" operator="lessThan">
      <formula>$C$22</formula>
    </cfRule>
  </conditionalFormatting>
  <conditionalFormatting sqref="C22">
    <cfRule type="cellIs" dxfId="3346" priority="151" operator="lessThan">
      <formula>$B$22</formula>
    </cfRule>
  </conditionalFormatting>
  <conditionalFormatting sqref="B23">
    <cfRule type="cellIs" dxfId="3345" priority="150" operator="lessThan">
      <formula>$C$23</formula>
    </cfRule>
  </conditionalFormatting>
  <conditionalFormatting sqref="C23">
    <cfRule type="cellIs" dxfId="3344" priority="149" operator="lessThan">
      <formula>$B$23</formula>
    </cfRule>
  </conditionalFormatting>
  <conditionalFormatting sqref="B24">
    <cfRule type="cellIs" dxfId="3343" priority="148" operator="lessThan">
      <formula>$C$24</formula>
    </cfRule>
  </conditionalFormatting>
  <conditionalFormatting sqref="C24">
    <cfRule type="cellIs" dxfId="3342" priority="147" operator="lessThan">
      <formula>$B$24</formula>
    </cfRule>
  </conditionalFormatting>
  <conditionalFormatting sqref="B25">
    <cfRule type="cellIs" dxfId="3341" priority="146" operator="lessThan">
      <formula>$C$25</formula>
    </cfRule>
  </conditionalFormatting>
  <conditionalFormatting sqref="C25">
    <cfRule type="cellIs" dxfId="3340" priority="145" operator="lessThan">
      <formula>$B$25</formula>
    </cfRule>
  </conditionalFormatting>
  <conditionalFormatting sqref="B26">
    <cfRule type="cellIs" dxfId="3339" priority="144" operator="lessThan">
      <formula>$C$26</formula>
    </cfRule>
  </conditionalFormatting>
  <conditionalFormatting sqref="C26">
    <cfRule type="cellIs" dxfId="3338" priority="143" operator="lessThan">
      <formula>$B$26</formula>
    </cfRule>
  </conditionalFormatting>
  <conditionalFormatting sqref="B27">
    <cfRule type="cellIs" dxfId="3337" priority="142" operator="lessThan">
      <formula>$C$27</formula>
    </cfRule>
  </conditionalFormatting>
  <conditionalFormatting sqref="C27">
    <cfRule type="cellIs" dxfId="3336" priority="141" operator="lessThan">
      <formula>$B$27</formula>
    </cfRule>
  </conditionalFormatting>
  <conditionalFormatting sqref="B28">
    <cfRule type="cellIs" dxfId="3335" priority="140" operator="lessThan">
      <formula>$C$28</formula>
    </cfRule>
  </conditionalFormatting>
  <conditionalFormatting sqref="C28">
    <cfRule type="cellIs" dxfId="3334" priority="139" operator="lessThan">
      <formula>$B$28</formula>
    </cfRule>
  </conditionalFormatting>
  <conditionalFormatting sqref="B29">
    <cfRule type="cellIs" dxfId="3333" priority="138" operator="lessThan">
      <formula>$C$29</formula>
    </cfRule>
  </conditionalFormatting>
  <conditionalFormatting sqref="C29">
    <cfRule type="cellIs" dxfId="3332" priority="137" operator="lessThan">
      <formula>$B$29</formula>
    </cfRule>
  </conditionalFormatting>
  <conditionalFormatting sqref="B30">
    <cfRule type="cellIs" dxfId="3331" priority="136" operator="lessThan">
      <formula>$C$30</formula>
    </cfRule>
  </conditionalFormatting>
  <conditionalFormatting sqref="C30">
    <cfRule type="cellIs" dxfId="3330" priority="135" operator="lessThan">
      <formula>$B$30</formula>
    </cfRule>
  </conditionalFormatting>
  <conditionalFormatting sqref="B31">
    <cfRule type="cellIs" dxfId="3329" priority="134" operator="lessThan">
      <formula>$C$31</formula>
    </cfRule>
  </conditionalFormatting>
  <conditionalFormatting sqref="C31">
    <cfRule type="cellIs" dxfId="3328" priority="133" operator="lessThan">
      <formula>$B$31</formula>
    </cfRule>
  </conditionalFormatting>
  <conditionalFormatting sqref="B32">
    <cfRule type="cellIs" dxfId="3327" priority="132" operator="lessThan">
      <formula>$C$32</formula>
    </cfRule>
  </conditionalFormatting>
  <conditionalFormatting sqref="C32">
    <cfRule type="cellIs" dxfId="3326" priority="131" operator="lessThan">
      <formula>$B$32</formula>
    </cfRule>
  </conditionalFormatting>
  <conditionalFormatting sqref="B33">
    <cfRule type="cellIs" dxfId="3325" priority="130" operator="lessThan">
      <formula>$C$33</formula>
    </cfRule>
  </conditionalFormatting>
  <conditionalFormatting sqref="C33">
    <cfRule type="cellIs" dxfId="3324" priority="129" operator="lessThan">
      <formula>$B$33</formula>
    </cfRule>
  </conditionalFormatting>
  <conditionalFormatting sqref="B34">
    <cfRule type="cellIs" dxfId="3323" priority="128" operator="lessThan">
      <formula>$C$34</formula>
    </cfRule>
  </conditionalFormatting>
  <conditionalFormatting sqref="C34">
    <cfRule type="cellIs" dxfId="3322" priority="127" operator="lessThan">
      <formula>$B$34</formula>
    </cfRule>
  </conditionalFormatting>
  <conditionalFormatting sqref="B35">
    <cfRule type="cellIs" dxfId="3321" priority="126" operator="lessThan">
      <formula>$C$35</formula>
    </cfRule>
  </conditionalFormatting>
  <conditionalFormatting sqref="C35">
    <cfRule type="cellIs" dxfId="3320" priority="125" operator="lessThan">
      <formula>$B$35</formula>
    </cfRule>
  </conditionalFormatting>
  <conditionalFormatting sqref="B36">
    <cfRule type="cellIs" dxfId="3319" priority="124" operator="lessThan">
      <formula>$C$36</formula>
    </cfRule>
  </conditionalFormatting>
  <conditionalFormatting sqref="C36">
    <cfRule type="cellIs" dxfId="3318" priority="123" operator="lessThan">
      <formula>$B$36</formula>
    </cfRule>
  </conditionalFormatting>
  <conditionalFormatting sqref="B37">
    <cfRule type="cellIs" dxfId="3317" priority="122" operator="lessThan">
      <formula>$C$37</formula>
    </cfRule>
  </conditionalFormatting>
  <conditionalFormatting sqref="C37">
    <cfRule type="cellIs" dxfId="3316" priority="121" operator="lessThan">
      <formula>$B$37</formula>
    </cfRule>
  </conditionalFormatting>
  <conditionalFormatting sqref="B38">
    <cfRule type="cellIs" dxfId="3315" priority="120" operator="lessThan">
      <formula>$C$38</formula>
    </cfRule>
  </conditionalFormatting>
  <conditionalFormatting sqref="C38">
    <cfRule type="cellIs" dxfId="3314" priority="119" operator="lessThan">
      <formula>$B$38</formula>
    </cfRule>
  </conditionalFormatting>
  <conditionalFormatting sqref="B39">
    <cfRule type="cellIs" dxfId="3313" priority="118" operator="lessThan">
      <formula>$C$39</formula>
    </cfRule>
  </conditionalFormatting>
  <conditionalFormatting sqref="C39">
    <cfRule type="cellIs" dxfId="3312" priority="117" operator="lessThan">
      <formula>$B$39</formula>
    </cfRule>
  </conditionalFormatting>
  <conditionalFormatting sqref="B40">
    <cfRule type="cellIs" dxfId="3311" priority="116" operator="lessThan">
      <formula>$C$40</formula>
    </cfRule>
  </conditionalFormatting>
  <conditionalFormatting sqref="C40">
    <cfRule type="cellIs" dxfId="3310" priority="115" operator="lessThan">
      <formula>$B$40</formula>
    </cfRule>
  </conditionalFormatting>
  <conditionalFormatting sqref="B41">
    <cfRule type="cellIs" dxfId="3309" priority="114" operator="lessThan">
      <formula>$C$41</formula>
    </cfRule>
  </conditionalFormatting>
  <conditionalFormatting sqref="C41">
    <cfRule type="cellIs" dxfId="3308" priority="113" operator="lessThan">
      <formula>$B$41</formula>
    </cfRule>
  </conditionalFormatting>
  <conditionalFormatting sqref="B42">
    <cfRule type="cellIs" dxfId="3307" priority="112" operator="lessThan">
      <formula>$C$42</formula>
    </cfRule>
  </conditionalFormatting>
  <conditionalFormatting sqref="C42">
    <cfRule type="cellIs" dxfId="3306" priority="111" operator="lessThan">
      <formula>$B$42</formula>
    </cfRule>
  </conditionalFormatting>
  <conditionalFormatting sqref="B43">
    <cfRule type="cellIs" dxfId="3305" priority="110" operator="lessThan">
      <formula>$C$43</formula>
    </cfRule>
  </conditionalFormatting>
  <conditionalFormatting sqref="C43">
    <cfRule type="cellIs" dxfId="3304" priority="109" operator="lessThan">
      <formula>$B$43</formula>
    </cfRule>
  </conditionalFormatting>
  <conditionalFormatting sqref="B44">
    <cfRule type="cellIs" dxfId="3303" priority="108" operator="lessThan">
      <formula>$C$44</formula>
    </cfRule>
  </conditionalFormatting>
  <conditionalFormatting sqref="C44">
    <cfRule type="cellIs" dxfId="3302" priority="107" operator="lessThan">
      <formula>$B$44</formula>
    </cfRule>
  </conditionalFormatting>
  <conditionalFormatting sqref="B45">
    <cfRule type="cellIs" dxfId="3301" priority="106" operator="lessThan">
      <formula>$C$45</formula>
    </cfRule>
  </conditionalFormatting>
  <conditionalFormatting sqref="C45">
    <cfRule type="cellIs" dxfId="3300" priority="105" operator="lessThan">
      <formula>$B$45</formula>
    </cfRule>
  </conditionalFormatting>
  <conditionalFormatting sqref="B46">
    <cfRule type="cellIs" dxfId="3299" priority="104" operator="lessThan">
      <formula>$C$46</formula>
    </cfRule>
  </conditionalFormatting>
  <conditionalFormatting sqref="C46">
    <cfRule type="cellIs" dxfId="3298" priority="103" operator="lessThan">
      <formula>$B$46</formula>
    </cfRule>
  </conditionalFormatting>
  <conditionalFormatting sqref="B47">
    <cfRule type="cellIs" dxfId="3297" priority="102" operator="lessThan">
      <formula>$C$47</formula>
    </cfRule>
  </conditionalFormatting>
  <conditionalFormatting sqref="C47">
    <cfRule type="cellIs" dxfId="3296" priority="101" operator="lessThan">
      <formula>$B$47</formula>
    </cfRule>
  </conditionalFormatting>
  <conditionalFormatting sqref="B48">
    <cfRule type="cellIs" dxfId="3295" priority="100" operator="lessThan">
      <formula>$C$48</formula>
    </cfRule>
  </conditionalFormatting>
  <conditionalFormatting sqref="C48">
    <cfRule type="cellIs" dxfId="3294" priority="99" operator="lessThan">
      <formula>$B$48</formula>
    </cfRule>
  </conditionalFormatting>
  <conditionalFormatting sqref="B49">
    <cfRule type="cellIs" dxfId="3293" priority="98" operator="lessThan">
      <formula>$C$49</formula>
    </cfRule>
  </conditionalFormatting>
  <conditionalFormatting sqref="C49">
    <cfRule type="cellIs" dxfId="3292" priority="97" operator="lessThan">
      <formula>$B$49</formula>
    </cfRule>
  </conditionalFormatting>
  <conditionalFormatting sqref="B50">
    <cfRule type="cellIs" dxfId="3291" priority="96" operator="lessThan">
      <formula>$C$50</formula>
    </cfRule>
  </conditionalFormatting>
  <conditionalFormatting sqref="C50">
    <cfRule type="cellIs" dxfId="3290" priority="95" operator="lessThan">
      <formula>$B$50</formula>
    </cfRule>
  </conditionalFormatting>
  <conditionalFormatting sqref="D4">
    <cfRule type="cellIs" dxfId="3289" priority="94" operator="lessThan">
      <formula>$E$4</formula>
    </cfRule>
  </conditionalFormatting>
  <conditionalFormatting sqref="E4">
    <cfRule type="cellIs" dxfId="3288" priority="93" operator="lessThan">
      <formula>$D$4</formula>
    </cfRule>
  </conditionalFormatting>
  <conditionalFormatting sqref="D5">
    <cfRule type="cellIs" dxfId="3287" priority="92" operator="lessThan">
      <formula>$E$5</formula>
    </cfRule>
  </conditionalFormatting>
  <conditionalFormatting sqref="E5">
    <cfRule type="cellIs" dxfId="3286" priority="91" operator="lessThan">
      <formula>$D$5</formula>
    </cfRule>
  </conditionalFormatting>
  <conditionalFormatting sqref="D6">
    <cfRule type="cellIs" dxfId="3285" priority="90" operator="lessThan">
      <formula>$E$6</formula>
    </cfRule>
  </conditionalFormatting>
  <conditionalFormatting sqref="E6">
    <cfRule type="cellIs" dxfId="3284" priority="89" operator="lessThan">
      <formula>$D$6</formula>
    </cfRule>
  </conditionalFormatting>
  <conditionalFormatting sqref="D7">
    <cfRule type="cellIs" dxfId="3283" priority="88" operator="lessThan">
      <formula>$E$7</formula>
    </cfRule>
  </conditionalFormatting>
  <conditionalFormatting sqref="E7">
    <cfRule type="cellIs" dxfId="3282" priority="87" operator="lessThan">
      <formula>$D$7</formula>
    </cfRule>
  </conditionalFormatting>
  <conditionalFormatting sqref="D8">
    <cfRule type="cellIs" dxfId="3281" priority="86" operator="lessThan">
      <formula>$E$8</formula>
    </cfRule>
  </conditionalFormatting>
  <conditionalFormatting sqref="E8">
    <cfRule type="cellIs" dxfId="3280" priority="85" operator="lessThan">
      <formula>$D$8</formula>
    </cfRule>
  </conditionalFormatting>
  <conditionalFormatting sqref="D9">
    <cfRule type="cellIs" dxfId="3279" priority="84" operator="lessThan">
      <formula>$E$9</formula>
    </cfRule>
  </conditionalFormatting>
  <conditionalFormatting sqref="E9">
    <cfRule type="cellIs" dxfId="3278" priority="83" operator="lessThan">
      <formula>$D$9</formula>
    </cfRule>
  </conditionalFormatting>
  <conditionalFormatting sqref="D10">
    <cfRule type="cellIs" dxfId="3277" priority="82" operator="lessThan">
      <formula>$E$10</formula>
    </cfRule>
  </conditionalFormatting>
  <conditionalFormatting sqref="E10">
    <cfRule type="cellIs" dxfId="3276" priority="81" operator="lessThan">
      <formula>$D$10</formula>
    </cfRule>
  </conditionalFormatting>
  <conditionalFormatting sqref="D11">
    <cfRule type="cellIs" dxfId="3275" priority="80" operator="lessThan">
      <formula>$E$11</formula>
    </cfRule>
  </conditionalFormatting>
  <conditionalFormatting sqref="E11">
    <cfRule type="cellIs" dxfId="3274" priority="79" operator="lessThan">
      <formula>$D$11</formula>
    </cfRule>
  </conditionalFormatting>
  <conditionalFormatting sqref="D12">
    <cfRule type="cellIs" dxfId="3273" priority="78" operator="lessThan">
      <formula>$E$12</formula>
    </cfRule>
  </conditionalFormatting>
  <conditionalFormatting sqref="E12">
    <cfRule type="cellIs" dxfId="3272" priority="77" operator="lessThan">
      <formula>$D$12</formula>
    </cfRule>
  </conditionalFormatting>
  <conditionalFormatting sqref="D13">
    <cfRule type="cellIs" dxfId="3271" priority="76" operator="lessThan">
      <formula>$E$13</formula>
    </cfRule>
  </conditionalFormatting>
  <conditionalFormatting sqref="E13">
    <cfRule type="cellIs" dxfId="3270" priority="75" operator="lessThan">
      <formula>$D$13</formula>
    </cfRule>
  </conditionalFormatting>
  <conditionalFormatting sqref="D14">
    <cfRule type="cellIs" dxfId="3269" priority="74" operator="lessThan">
      <formula>$E$14</formula>
    </cfRule>
  </conditionalFormatting>
  <conditionalFormatting sqref="E14">
    <cfRule type="cellIs" dxfId="3268" priority="73" operator="lessThan">
      <formula>$D$14</formula>
    </cfRule>
  </conditionalFormatting>
  <conditionalFormatting sqref="D15">
    <cfRule type="cellIs" dxfId="3267" priority="72" operator="lessThan">
      <formula>$E$15</formula>
    </cfRule>
  </conditionalFormatting>
  <conditionalFormatting sqref="E15">
    <cfRule type="cellIs" dxfId="3266" priority="71" operator="lessThan">
      <formula>$D$15</formula>
    </cfRule>
  </conditionalFormatting>
  <conditionalFormatting sqref="D16">
    <cfRule type="cellIs" dxfId="3265" priority="70" operator="lessThan">
      <formula>$E$16</formula>
    </cfRule>
  </conditionalFormatting>
  <conditionalFormatting sqref="E16">
    <cfRule type="cellIs" dxfId="3264" priority="69" operator="lessThan">
      <formula>$D$16</formula>
    </cfRule>
  </conditionalFormatting>
  <conditionalFormatting sqref="D17">
    <cfRule type="cellIs" dxfId="3263" priority="68" operator="lessThan">
      <formula>$E$17</formula>
    </cfRule>
  </conditionalFormatting>
  <conditionalFormatting sqref="E17">
    <cfRule type="cellIs" dxfId="3262" priority="67" operator="lessThan">
      <formula>$D$17</formula>
    </cfRule>
  </conditionalFormatting>
  <conditionalFormatting sqref="D18">
    <cfRule type="cellIs" dxfId="3261" priority="66" operator="lessThan">
      <formula>$E$18</formula>
    </cfRule>
  </conditionalFormatting>
  <conditionalFormatting sqref="E18">
    <cfRule type="cellIs" dxfId="3260" priority="65" operator="lessThan">
      <formula>$D$18</formula>
    </cfRule>
  </conditionalFormatting>
  <conditionalFormatting sqref="D19">
    <cfRule type="cellIs" dxfId="3259" priority="64" operator="lessThan">
      <formula>$E$19</formula>
    </cfRule>
  </conditionalFormatting>
  <conditionalFormatting sqref="E19">
    <cfRule type="cellIs" dxfId="3258" priority="63" operator="lessThan">
      <formula>$D$19</formula>
    </cfRule>
  </conditionalFormatting>
  <conditionalFormatting sqref="D20">
    <cfRule type="cellIs" dxfId="3257" priority="62" operator="lessThan">
      <formula>$E$20</formula>
    </cfRule>
  </conditionalFormatting>
  <conditionalFormatting sqref="E20">
    <cfRule type="cellIs" dxfId="3256" priority="61" operator="lessThan">
      <formula>$D$20</formula>
    </cfRule>
  </conditionalFormatting>
  <conditionalFormatting sqref="D21">
    <cfRule type="cellIs" dxfId="3255" priority="60" operator="lessThan">
      <formula>$E$21</formula>
    </cfRule>
  </conditionalFormatting>
  <conditionalFormatting sqref="E21">
    <cfRule type="cellIs" dxfId="3254" priority="59" operator="lessThan">
      <formula>$D$21</formula>
    </cfRule>
  </conditionalFormatting>
  <conditionalFormatting sqref="D22">
    <cfRule type="cellIs" dxfId="3253" priority="58" operator="lessThan">
      <formula>$E$22</formula>
    </cfRule>
  </conditionalFormatting>
  <conditionalFormatting sqref="E22">
    <cfRule type="cellIs" dxfId="3252" priority="57" operator="lessThan">
      <formula>$D$22</formula>
    </cfRule>
  </conditionalFormatting>
  <conditionalFormatting sqref="D23">
    <cfRule type="cellIs" dxfId="3251" priority="56" operator="lessThan">
      <formula>$E$23</formula>
    </cfRule>
  </conditionalFormatting>
  <conditionalFormatting sqref="E23">
    <cfRule type="cellIs" dxfId="3250" priority="55" operator="lessThan">
      <formula>$D$23</formula>
    </cfRule>
  </conditionalFormatting>
  <conditionalFormatting sqref="D24">
    <cfRule type="cellIs" dxfId="3249" priority="54" operator="lessThan">
      <formula>$E$24</formula>
    </cfRule>
  </conditionalFormatting>
  <conditionalFormatting sqref="E24">
    <cfRule type="cellIs" dxfId="3248" priority="53" operator="lessThan">
      <formula>$D$24</formula>
    </cfRule>
  </conditionalFormatting>
  <conditionalFormatting sqref="D25">
    <cfRule type="cellIs" dxfId="3247" priority="52" operator="lessThan">
      <formula>$E$25</formula>
    </cfRule>
  </conditionalFormatting>
  <conditionalFormatting sqref="E25">
    <cfRule type="cellIs" dxfId="3246" priority="51" operator="lessThan">
      <formula>$D$25</formula>
    </cfRule>
  </conditionalFormatting>
  <conditionalFormatting sqref="D26">
    <cfRule type="cellIs" dxfId="3245" priority="50" operator="lessThan">
      <formula>$E$26</formula>
    </cfRule>
  </conditionalFormatting>
  <conditionalFormatting sqref="E26">
    <cfRule type="cellIs" dxfId="3244" priority="49" operator="lessThan">
      <formula>$D$26</formula>
    </cfRule>
  </conditionalFormatting>
  <conditionalFormatting sqref="D27">
    <cfRule type="cellIs" dxfId="3243" priority="48" operator="lessThan">
      <formula>$E$27</formula>
    </cfRule>
  </conditionalFormatting>
  <conditionalFormatting sqref="E27">
    <cfRule type="cellIs" dxfId="3242" priority="47" operator="lessThan">
      <formula>$D$27</formula>
    </cfRule>
  </conditionalFormatting>
  <conditionalFormatting sqref="D28">
    <cfRule type="cellIs" dxfId="3241" priority="46" operator="lessThan">
      <formula>$E$28</formula>
    </cfRule>
  </conditionalFormatting>
  <conditionalFormatting sqref="E28">
    <cfRule type="cellIs" dxfId="3240" priority="45" operator="lessThan">
      <formula>$D$28</formula>
    </cfRule>
  </conditionalFormatting>
  <conditionalFormatting sqref="D29">
    <cfRule type="cellIs" dxfId="3239" priority="44" operator="lessThan">
      <formula>$E$29</formula>
    </cfRule>
  </conditionalFormatting>
  <conditionalFormatting sqref="E29">
    <cfRule type="cellIs" dxfId="3238" priority="43" operator="lessThan">
      <formula>$D$29</formula>
    </cfRule>
  </conditionalFormatting>
  <conditionalFormatting sqref="D30">
    <cfRule type="cellIs" dxfId="3237" priority="42" operator="lessThan">
      <formula>$E$30</formula>
    </cfRule>
  </conditionalFormatting>
  <conditionalFormatting sqref="E30">
    <cfRule type="cellIs" dxfId="3236" priority="41" operator="lessThan">
      <formula>$D$30</formula>
    </cfRule>
  </conditionalFormatting>
  <conditionalFormatting sqref="D31">
    <cfRule type="cellIs" dxfId="3235" priority="40" operator="lessThan">
      <formula>$E$31</formula>
    </cfRule>
  </conditionalFormatting>
  <conditionalFormatting sqref="E31">
    <cfRule type="cellIs" dxfId="3234" priority="39" operator="lessThan">
      <formula>$D$31</formula>
    </cfRule>
  </conditionalFormatting>
  <conditionalFormatting sqref="D32">
    <cfRule type="cellIs" dxfId="3233" priority="38" operator="lessThan">
      <formula>$E$32</formula>
    </cfRule>
  </conditionalFormatting>
  <conditionalFormatting sqref="E32">
    <cfRule type="cellIs" dxfId="3232" priority="37" operator="lessThan">
      <formula>$D$32</formula>
    </cfRule>
  </conditionalFormatting>
  <conditionalFormatting sqref="D33">
    <cfRule type="cellIs" dxfId="3231" priority="36" operator="lessThan">
      <formula>$E$33</formula>
    </cfRule>
  </conditionalFormatting>
  <conditionalFormatting sqref="E33">
    <cfRule type="cellIs" dxfId="3230" priority="35" operator="lessThan">
      <formula>$D$33</formula>
    </cfRule>
  </conditionalFormatting>
  <conditionalFormatting sqref="D34">
    <cfRule type="cellIs" dxfId="3229" priority="34" operator="lessThan">
      <formula>$E$34</formula>
    </cfRule>
  </conditionalFormatting>
  <conditionalFormatting sqref="E34">
    <cfRule type="cellIs" dxfId="3228" priority="33" operator="lessThan">
      <formula>$D$34</formula>
    </cfRule>
  </conditionalFormatting>
  <conditionalFormatting sqref="D35">
    <cfRule type="cellIs" dxfId="3227" priority="32" operator="lessThan">
      <formula>$E$35</formula>
    </cfRule>
  </conditionalFormatting>
  <conditionalFormatting sqref="E35">
    <cfRule type="cellIs" dxfId="3226" priority="31" operator="lessThan">
      <formula>$D$35</formula>
    </cfRule>
  </conditionalFormatting>
  <conditionalFormatting sqref="D36">
    <cfRule type="cellIs" dxfId="3225" priority="30" operator="lessThan">
      <formula>$E$36</formula>
    </cfRule>
  </conditionalFormatting>
  <conditionalFormatting sqref="E36">
    <cfRule type="cellIs" dxfId="3224" priority="29" operator="lessThan">
      <formula>$D$36</formula>
    </cfRule>
  </conditionalFormatting>
  <conditionalFormatting sqref="D37">
    <cfRule type="cellIs" dxfId="3223" priority="28" operator="lessThan">
      <formula>$E$37</formula>
    </cfRule>
  </conditionalFormatting>
  <conditionalFormatting sqref="E37">
    <cfRule type="cellIs" dxfId="3222" priority="27" operator="lessThan">
      <formula>$D$37</formula>
    </cfRule>
  </conditionalFormatting>
  <conditionalFormatting sqref="D38">
    <cfRule type="cellIs" dxfId="3221" priority="26" operator="lessThan">
      <formula>$E$38</formula>
    </cfRule>
  </conditionalFormatting>
  <conditionalFormatting sqref="E38">
    <cfRule type="cellIs" dxfId="3220" priority="25" operator="lessThan">
      <formula>$D$38</formula>
    </cfRule>
  </conditionalFormatting>
  <conditionalFormatting sqref="D39">
    <cfRule type="cellIs" dxfId="3219" priority="24" operator="lessThan">
      <formula>$E$39</formula>
    </cfRule>
  </conditionalFormatting>
  <conditionalFormatting sqref="E39">
    <cfRule type="cellIs" dxfId="3218" priority="23" operator="lessThan">
      <formula>$D$39</formula>
    </cfRule>
  </conditionalFormatting>
  <conditionalFormatting sqref="D40">
    <cfRule type="cellIs" dxfId="3217" priority="22" operator="lessThan">
      <formula>$E$40</formula>
    </cfRule>
  </conditionalFormatting>
  <conditionalFormatting sqref="E40">
    <cfRule type="cellIs" dxfId="3216" priority="21" operator="lessThan">
      <formula>$D$40</formula>
    </cfRule>
  </conditionalFormatting>
  <conditionalFormatting sqref="D41">
    <cfRule type="cellIs" dxfId="3215" priority="20" operator="lessThan">
      <formula>$E$41</formula>
    </cfRule>
  </conditionalFormatting>
  <conditionalFormatting sqref="E41">
    <cfRule type="cellIs" dxfId="3214" priority="19" operator="lessThan">
      <formula>$D$41</formula>
    </cfRule>
  </conditionalFormatting>
  <conditionalFormatting sqref="D42">
    <cfRule type="cellIs" dxfId="3213" priority="18" operator="lessThan">
      <formula>$E$42</formula>
    </cfRule>
  </conditionalFormatting>
  <conditionalFormatting sqref="E42">
    <cfRule type="cellIs" dxfId="3212" priority="17" operator="lessThan">
      <formula>$D$42</formula>
    </cfRule>
  </conditionalFormatting>
  <conditionalFormatting sqref="D43">
    <cfRule type="cellIs" dxfId="3211" priority="16" operator="lessThan">
      <formula>$E$43</formula>
    </cfRule>
  </conditionalFormatting>
  <conditionalFormatting sqref="E43">
    <cfRule type="cellIs" dxfId="3210" priority="15" operator="lessThan">
      <formula>$D$43</formula>
    </cfRule>
  </conditionalFormatting>
  <conditionalFormatting sqref="D44">
    <cfRule type="cellIs" dxfId="3209" priority="14" operator="lessThan">
      <formula>$E$44</formula>
    </cfRule>
  </conditionalFormatting>
  <conditionalFormatting sqref="E44">
    <cfRule type="cellIs" dxfId="3208" priority="13" operator="lessThan">
      <formula>$D$44</formula>
    </cfRule>
  </conditionalFormatting>
  <conditionalFormatting sqref="D45">
    <cfRule type="cellIs" dxfId="3207" priority="12" operator="lessThan">
      <formula>$E$45</formula>
    </cfRule>
  </conditionalFormatting>
  <conditionalFormatting sqref="E45">
    <cfRule type="cellIs" dxfId="3206" priority="11" operator="lessThan">
      <formula>$D$45</formula>
    </cfRule>
  </conditionalFormatting>
  <conditionalFormatting sqref="D46">
    <cfRule type="cellIs" dxfId="3205" priority="10" operator="lessThan">
      <formula>$E$46</formula>
    </cfRule>
  </conditionalFormatting>
  <conditionalFormatting sqref="E46">
    <cfRule type="cellIs" dxfId="3204" priority="9" operator="lessThan">
      <formula>$D$46</formula>
    </cfRule>
  </conditionalFormatting>
  <conditionalFormatting sqref="D47">
    <cfRule type="cellIs" dxfId="3203" priority="8" operator="lessThan">
      <formula>$E$47</formula>
    </cfRule>
  </conditionalFormatting>
  <conditionalFormatting sqref="E47">
    <cfRule type="cellIs" dxfId="3202" priority="7" operator="lessThan">
      <formula>$D$47</formula>
    </cfRule>
  </conditionalFormatting>
  <conditionalFormatting sqref="D48">
    <cfRule type="cellIs" dxfId="3201" priority="6" operator="lessThan">
      <formula>$E$48</formula>
    </cfRule>
  </conditionalFormatting>
  <conditionalFormatting sqref="E48">
    <cfRule type="cellIs" dxfId="3200" priority="5" operator="lessThan">
      <formula>$D$48</formula>
    </cfRule>
  </conditionalFormatting>
  <conditionalFormatting sqref="D49">
    <cfRule type="cellIs" dxfId="3199" priority="4" operator="lessThan">
      <formula>$E$49</formula>
    </cfRule>
  </conditionalFormatting>
  <conditionalFormatting sqref="E49">
    <cfRule type="cellIs" dxfId="3198" priority="3" operator="lessThan">
      <formula>$D$49</formula>
    </cfRule>
  </conditionalFormatting>
  <conditionalFormatting sqref="D50">
    <cfRule type="cellIs" dxfId="3197" priority="2" operator="lessThan">
      <formula>$E$50</formula>
    </cfRule>
  </conditionalFormatting>
  <conditionalFormatting sqref="E50">
    <cfRule type="cellIs" dxfId="3196" priority="1" operator="lessThan">
      <formula>$D$50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0" sqref="E10"/>
    </sheetView>
  </sheetViews>
  <sheetFormatPr baseColWidth="10" defaultRowHeight="15" x14ac:dyDescent="0.25"/>
  <sheetData>
    <row r="1" spans="1:18" x14ac:dyDescent="0.25">
      <c r="A1" s="1"/>
      <c r="B1" s="2">
        <f>AVERAGE(B4:B38)</f>
        <v>2.086875</v>
      </c>
      <c r="C1" s="2">
        <f>AVERAGE(C4:C30)</f>
        <v>1.764375</v>
      </c>
      <c r="D1" s="2">
        <f>AVERAGE(D4:D60)</f>
        <v>3.0837500000000002</v>
      </c>
      <c r="E1" s="2">
        <f>AVERAGE(E4:E60)</f>
        <v>2.9775000000000005</v>
      </c>
      <c r="F1" s="1">
        <f>SUM(F4:F50)</f>
        <v>768.57600000000002</v>
      </c>
      <c r="G1" s="1">
        <f>D1-E1</f>
        <v>0.10624999999999973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27.550326034811114</v>
      </c>
      <c r="H3" s="2">
        <f>L3/M3</f>
        <v>35.126348905845092</v>
      </c>
      <c r="I3" s="4">
        <f t="shared" ref="I3:R3" si="0">SUM(I4:I50)</f>
        <v>45.156398104265399</v>
      </c>
      <c r="J3" s="4">
        <f t="shared" si="0"/>
        <v>16.926398104265409</v>
      </c>
      <c r="K3" s="4">
        <f t="shared" si="0"/>
        <v>507.41529857819921</v>
      </c>
      <c r="L3" s="4">
        <f t="shared" si="0"/>
        <v>50741.529857819929</v>
      </c>
      <c r="M3" s="4">
        <f t="shared" si="0"/>
        <v>1444.5432400000002</v>
      </c>
      <c r="N3" s="4">
        <f t="shared" si="0"/>
        <v>46.767772511848342</v>
      </c>
      <c r="O3" s="4">
        <f t="shared" si="0"/>
        <v>13.377772511848345</v>
      </c>
      <c r="P3" s="4">
        <f t="shared" si="0"/>
        <v>406.16019668246463</v>
      </c>
      <c r="Q3" s="4">
        <f t="shared" si="0"/>
        <v>40616.019668246474</v>
      </c>
      <c r="R3" s="4">
        <f t="shared" si="0"/>
        <v>1474.2482400000004</v>
      </c>
    </row>
    <row r="4" spans="1:18" x14ac:dyDescent="0.25">
      <c r="A4" t="s">
        <v>35</v>
      </c>
      <c r="B4">
        <v>2.8</v>
      </c>
      <c r="C4">
        <v>2.1</v>
      </c>
      <c r="D4">
        <v>3.99</v>
      </c>
      <c r="E4">
        <v>3.29</v>
      </c>
      <c r="F4">
        <v>10</v>
      </c>
      <c r="G4" s="1">
        <f>Q4/R4</f>
        <v>24.611291261328695</v>
      </c>
      <c r="H4" s="1">
        <f>L4/M4</f>
        <v>30.956942623777351</v>
      </c>
      <c r="I4">
        <f t="shared" ref="I4:I51" si="1">E4/1.055</f>
        <v>3.1184834123222749</v>
      </c>
      <c r="J4">
        <f t="shared" ref="J4:J51" si="2">I4-C4</f>
        <v>1.0184834123222748</v>
      </c>
      <c r="K4">
        <f t="shared" ref="K4:K51" si="3">J4*F4</f>
        <v>10.184834123222748</v>
      </c>
      <c r="L4">
        <f>K4*100</f>
        <v>1018.4834123222748</v>
      </c>
      <c r="M4">
        <f t="shared" ref="M4:M51" si="4">E4*F4</f>
        <v>32.9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t="s">
        <v>10</v>
      </c>
      <c r="B5">
        <v>2.95</v>
      </c>
      <c r="C5">
        <v>2.1</v>
      </c>
      <c r="D5">
        <v>4.49</v>
      </c>
      <c r="E5">
        <v>4.99</v>
      </c>
      <c r="F5">
        <v>10</v>
      </c>
      <c r="G5" s="1">
        <f t="shared" ref="G5:G51" si="5">Q5/R5</f>
        <v>29.085170837775369</v>
      </c>
      <c r="H5" s="1">
        <f t="shared" ref="H5:H51" si="6">L5/M5</f>
        <v>52.702561521146556</v>
      </c>
      <c r="I5">
        <f t="shared" si="1"/>
        <v>4.7298578199052139</v>
      </c>
      <c r="J5">
        <f t="shared" si="2"/>
        <v>2.6298578199052138</v>
      </c>
      <c r="K5">
        <f t="shared" si="3"/>
        <v>26.298578199052137</v>
      </c>
      <c r="L5">
        <f t="shared" ref="L5:L51" si="7">K5*100</f>
        <v>2629.8578199052135</v>
      </c>
      <c r="M5">
        <f t="shared" si="4"/>
        <v>49.900000000000006</v>
      </c>
      <c r="N5">
        <f t="shared" ref="N5:N51" si="8">D5/1.055</f>
        <v>4.2559241706161144</v>
      </c>
      <c r="O5">
        <f t="shared" ref="O5:O51" si="9">N5-B5</f>
        <v>1.3059241706161142</v>
      </c>
      <c r="P5">
        <f t="shared" ref="P5:P51" si="10">O5*F5</f>
        <v>13.059241706161142</v>
      </c>
      <c r="Q5">
        <f t="shared" ref="Q5:Q51" si="11">P5*100</f>
        <v>1305.9241706161142</v>
      </c>
      <c r="R5">
        <f t="shared" ref="R5:R51" si="12">D5*F5</f>
        <v>44.900000000000006</v>
      </c>
    </row>
    <row r="6" spans="1:18" x14ac:dyDescent="0.25">
      <c r="A6" t="s">
        <v>15</v>
      </c>
      <c r="B6">
        <v>1.45</v>
      </c>
      <c r="C6">
        <v>1.4</v>
      </c>
      <c r="D6">
        <v>1.89</v>
      </c>
      <c r="E6">
        <v>1.99</v>
      </c>
      <c r="F6">
        <v>60</v>
      </c>
      <c r="G6" s="1">
        <f t="shared" si="5"/>
        <v>18.067153138243192</v>
      </c>
      <c r="H6" s="1">
        <f t="shared" si="6"/>
        <v>24.434971063850064</v>
      </c>
      <c r="I6">
        <f t="shared" si="1"/>
        <v>1.8862559241706163</v>
      </c>
      <c r="J6">
        <f t="shared" si="2"/>
        <v>0.48625592417061636</v>
      </c>
      <c r="K6">
        <f t="shared" si="3"/>
        <v>29.175355450236982</v>
      </c>
      <c r="L6">
        <f t="shared" si="7"/>
        <v>2917.535545023698</v>
      </c>
      <c r="M6">
        <f t="shared" si="4"/>
        <v>119.4</v>
      </c>
      <c r="N6">
        <f t="shared" si="8"/>
        <v>1.7914691943127963</v>
      </c>
      <c r="O6">
        <f t="shared" si="9"/>
        <v>0.34146919431279632</v>
      </c>
      <c r="P6">
        <f t="shared" si="10"/>
        <v>20.48815165876778</v>
      </c>
      <c r="Q6">
        <f t="shared" si="11"/>
        <v>2048.8151658767779</v>
      </c>
      <c r="R6">
        <f t="shared" si="12"/>
        <v>113.39999999999999</v>
      </c>
    </row>
    <row r="7" spans="1:18" x14ac:dyDescent="0.25">
      <c r="A7" t="s">
        <v>21</v>
      </c>
      <c r="B7">
        <v>1.45</v>
      </c>
      <c r="C7">
        <v>1.4</v>
      </c>
      <c r="D7">
        <v>1.89</v>
      </c>
      <c r="E7">
        <v>1.99</v>
      </c>
      <c r="F7">
        <v>12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5.8350710900473963</v>
      </c>
      <c r="L7">
        <f t="shared" si="7"/>
        <v>583.50710900473962</v>
      </c>
      <c r="M7">
        <f t="shared" si="4"/>
        <v>23.88</v>
      </c>
      <c r="N7">
        <f t="shared" si="8"/>
        <v>1.7914691943127963</v>
      </c>
      <c r="O7">
        <f t="shared" si="9"/>
        <v>0.34146919431279632</v>
      </c>
      <c r="P7">
        <f t="shared" si="10"/>
        <v>4.0976303317535558</v>
      </c>
      <c r="Q7">
        <f t="shared" si="11"/>
        <v>409.76303317535559</v>
      </c>
      <c r="R7">
        <f t="shared" si="12"/>
        <v>22.68</v>
      </c>
    </row>
    <row r="8" spans="1:18" x14ac:dyDescent="0.25">
      <c r="A8" t="s">
        <v>20</v>
      </c>
      <c r="B8">
        <v>0.95</v>
      </c>
      <c r="C8">
        <v>0.65</v>
      </c>
      <c r="D8">
        <v>1.39</v>
      </c>
      <c r="E8">
        <v>1.29</v>
      </c>
      <c r="F8">
        <v>110</v>
      </c>
      <c r="G8" s="1">
        <f t="shared" si="5"/>
        <v>26.441406116812722</v>
      </c>
      <c r="H8" s="1">
        <f t="shared" si="6"/>
        <v>44.399132958595111</v>
      </c>
      <c r="I8">
        <f t="shared" si="1"/>
        <v>1.222748815165877</v>
      </c>
      <c r="J8">
        <f t="shared" si="2"/>
        <v>0.57274881516587695</v>
      </c>
      <c r="K8">
        <f t="shared" si="3"/>
        <v>63.002369668246466</v>
      </c>
      <c r="L8">
        <f t="shared" si="7"/>
        <v>6300.2369668246465</v>
      </c>
      <c r="M8">
        <f t="shared" si="4"/>
        <v>141.9</v>
      </c>
      <c r="N8">
        <f t="shared" si="8"/>
        <v>1.3175355450236967</v>
      </c>
      <c r="O8">
        <f t="shared" si="9"/>
        <v>0.36753554502369679</v>
      </c>
      <c r="P8">
        <f t="shared" si="10"/>
        <v>40.428909952606645</v>
      </c>
      <c r="Q8">
        <f t="shared" si="11"/>
        <v>4042.8909952606646</v>
      </c>
      <c r="R8">
        <f t="shared" si="12"/>
        <v>152.89999999999998</v>
      </c>
    </row>
    <row r="9" spans="1:18" x14ac:dyDescent="0.25">
      <c r="A9" t="s">
        <v>12</v>
      </c>
      <c r="B9">
        <v>2.75</v>
      </c>
      <c r="C9">
        <v>1.69</v>
      </c>
      <c r="D9">
        <v>3.99</v>
      </c>
      <c r="E9">
        <v>2.99</v>
      </c>
      <c r="F9">
        <v>30</v>
      </c>
      <c r="G9" s="1">
        <f t="shared" si="5"/>
        <v>25.864424093408893</v>
      </c>
      <c r="H9" s="1">
        <f t="shared" si="6"/>
        <v>38.264990727385126</v>
      </c>
      <c r="I9">
        <f t="shared" si="1"/>
        <v>2.8341232227488153</v>
      </c>
      <c r="J9">
        <f t="shared" si="2"/>
        <v>1.1441232227488154</v>
      </c>
      <c r="K9">
        <f t="shared" si="3"/>
        <v>34.323696682464458</v>
      </c>
      <c r="L9">
        <f t="shared" si="7"/>
        <v>3432.3696682464461</v>
      </c>
      <c r="M9">
        <f t="shared" si="4"/>
        <v>89.7</v>
      </c>
      <c r="N9">
        <f t="shared" si="8"/>
        <v>3.7819905213270149</v>
      </c>
      <c r="O9">
        <f t="shared" si="9"/>
        <v>1.0319905213270149</v>
      </c>
      <c r="P9">
        <f t="shared" si="10"/>
        <v>30.959715639810447</v>
      </c>
      <c r="Q9">
        <f t="shared" si="11"/>
        <v>3095.9715639810447</v>
      </c>
      <c r="R9">
        <f t="shared" si="12"/>
        <v>119.7</v>
      </c>
    </row>
    <row r="10" spans="1:18" x14ac:dyDescent="0.25">
      <c r="A10" t="s">
        <v>25</v>
      </c>
      <c r="B10">
        <v>1.8</v>
      </c>
      <c r="C10">
        <v>2.4500000000000002</v>
      </c>
      <c r="D10">
        <v>3.99</v>
      </c>
      <c r="E10">
        <v>3.99</v>
      </c>
      <c r="F10">
        <v>25</v>
      </c>
      <c r="G10" s="1">
        <f t="shared" si="5"/>
        <v>49.673947902932703</v>
      </c>
      <c r="H10" s="1">
        <f t="shared" si="6"/>
        <v>33.383221085890092</v>
      </c>
      <c r="I10">
        <f t="shared" si="1"/>
        <v>3.7819905213270149</v>
      </c>
      <c r="J10">
        <f t="shared" si="2"/>
        <v>1.3319905213270147</v>
      </c>
      <c r="K10">
        <f t="shared" si="3"/>
        <v>33.299763033175367</v>
      </c>
      <c r="L10">
        <f t="shared" si="7"/>
        <v>3329.9763033175368</v>
      </c>
      <c r="M10">
        <f t="shared" si="4"/>
        <v>99.75</v>
      </c>
      <c r="N10">
        <f t="shared" si="8"/>
        <v>3.7819905213270149</v>
      </c>
      <c r="O10">
        <f t="shared" si="9"/>
        <v>1.9819905213270148</v>
      </c>
      <c r="P10">
        <f t="shared" si="10"/>
        <v>49.549763033175367</v>
      </c>
      <c r="Q10">
        <f t="shared" si="11"/>
        <v>4954.9763033175368</v>
      </c>
      <c r="R10">
        <f t="shared" si="12"/>
        <v>99.75</v>
      </c>
    </row>
    <row r="11" spans="1:18" x14ac:dyDescent="0.25">
      <c r="A11" t="s">
        <v>14</v>
      </c>
      <c r="B11">
        <v>1.45</v>
      </c>
      <c r="C11">
        <v>1.4</v>
      </c>
      <c r="D11">
        <v>1.89</v>
      </c>
      <c r="E11">
        <v>1.99</v>
      </c>
      <c r="F11">
        <v>36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17.505213270142189</v>
      </c>
      <c r="L11">
        <f t="shared" si="7"/>
        <v>1750.521327014219</v>
      </c>
      <c r="M11">
        <f t="shared" si="4"/>
        <v>71.64</v>
      </c>
      <c r="N11">
        <f t="shared" si="8"/>
        <v>1.7914691943127963</v>
      </c>
      <c r="O11">
        <f t="shared" si="9"/>
        <v>0.34146919431279632</v>
      </c>
      <c r="P11">
        <f t="shared" si="10"/>
        <v>12.292890995260667</v>
      </c>
      <c r="Q11">
        <f t="shared" si="11"/>
        <v>1229.2890995260666</v>
      </c>
      <c r="R11">
        <f t="shared" si="12"/>
        <v>68.039999999999992</v>
      </c>
    </row>
    <row r="12" spans="1:18" x14ac:dyDescent="0.25">
      <c r="A12" t="s">
        <v>28</v>
      </c>
      <c r="B12">
        <v>1.45</v>
      </c>
      <c r="C12">
        <v>1.4</v>
      </c>
      <c r="D12">
        <v>1.89</v>
      </c>
      <c r="E12">
        <v>1.99</v>
      </c>
      <c r="F12">
        <v>24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11.670142180094793</v>
      </c>
      <c r="L12">
        <f t="shared" si="7"/>
        <v>1167.0142180094792</v>
      </c>
      <c r="M12">
        <f t="shared" si="4"/>
        <v>47.76</v>
      </c>
      <c r="N12">
        <f t="shared" si="8"/>
        <v>1.7914691943127963</v>
      </c>
      <c r="O12">
        <f t="shared" si="9"/>
        <v>0.34146919431279632</v>
      </c>
      <c r="P12">
        <f t="shared" si="10"/>
        <v>8.1952606635071117</v>
      </c>
      <c r="Q12">
        <f t="shared" si="11"/>
        <v>819.52606635071118</v>
      </c>
      <c r="R12">
        <f t="shared" si="12"/>
        <v>45.36</v>
      </c>
    </row>
    <row r="13" spans="1:18" x14ac:dyDescent="0.25">
      <c r="A13" t="s">
        <v>32</v>
      </c>
      <c r="B13">
        <v>2.9</v>
      </c>
      <c r="C13">
        <v>2.59</v>
      </c>
      <c r="D13">
        <v>4.1900000000000004</v>
      </c>
      <c r="E13">
        <v>4.49</v>
      </c>
      <c r="F13">
        <v>17.52</v>
      </c>
      <c r="G13" s="1">
        <f t="shared" si="5"/>
        <v>25.57431935662661</v>
      </c>
      <c r="H13" s="1">
        <f t="shared" si="6"/>
        <v>37.102988209713018</v>
      </c>
      <c r="I13">
        <f t="shared" si="1"/>
        <v>4.2559241706161144</v>
      </c>
      <c r="J13">
        <f t="shared" si="2"/>
        <v>1.6659241706161145</v>
      </c>
      <c r="K13">
        <f t="shared" si="3"/>
        <v>29.186991469194325</v>
      </c>
      <c r="L13">
        <f t="shared" si="7"/>
        <v>2918.6991469194327</v>
      </c>
      <c r="M13">
        <f t="shared" si="4"/>
        <v>78.6648</v>
      </c>
      <c r="N13">
        <f t="shared" si="8"/>
        <v>3.9715639810426548</v>
      </c>
      <c r="O13">
        <f t="shared" si="9"/>
        <v>1.0715639810426549</v>
      </c>
      <c r="P13">
        <f t="shared" si="10"/>
        <v>18.773800947867315</v>
      </c>
      <c r="Q13">
        <f t="shared" si="11"/>
        <v>1877.3800947867314</v>
      </c>
      <c r="R13">
        <f t="shared" si="12"/>
        <v>73.408799999999999</v>
      </c>
    </row>
    <row r="14" spans="1:18" x14ac:dyDescent="0.25">
      <c r="A14" t="s">
        <v>16</v>
      </c>
      <c r="B14">
        <v>2.75</v>
      </c>
      <c r="C14">
        <v>2.75</v>
      </c>
      <c r="D14">
        <v>3.99</v>
      </c>
      <c r="E14">
        <v>3.99</v>
      </c>
      <c r="F14">
        <v>13.926</v>
      </c>
      <c r="G14" s="1">
        <f t="shared" si="5"/>
        <v>25.864424093408893</v>
      </c>
      <c r="H14" s="1">
        <f t="shared" si="6"/>
        <v>25.864424093408893</v>
      </c>
      <c r="I14">
        <f t="shared" si="1"/>
        <v>3.7819905213270149</v>
      </c>
      <c r="J14">
        <f t="shared" si="2"/>
        <v>1.0319905213270149</v>
      </c>
      <c r="K14">
        <f t="shared" si="3"/>
        <v>14.371500000000008</v>
      </c>
      <c r="L14">
        <f t="shared" si="7"/>
        <v>1437.1500000000008</v>
      </c>
      <c r="M14">
        <f t="shared" si="4"/>
        <v>55.56474</v>
      </c>
      <c r="N14">
        <f t="shared" si="8"/>
        <v>3.7819905213270149</v>
      </c>
      <c r="O14">
        <f t="shared" si="9"/>
        <v>1.0319905213270149</v>
      </c>
      <c r="P14">
        <f t="shared" si="10"/>
        <v>14.371500000000008</v>
      </c>
      <c r="Q14">
        <f t="shared" si="11"/>
        <v>1437.1500000000008</v>
      </c>
      <c r="R14">
        <f t="shared" si="12"/>
        <v>55.56474</v>
      </c>
    </row>
    <row r="15" spans="1:18" x14ac:dyDescent="0.25">
      <c r="A15" t="s">
        <v>18</v>
      </c>
      <c r="B15">
        <v>1.1000000000000001</v>
      </c>
      <c r="C15">
        <v>0.95</v>
      </c>
      <c r="D15">
        <v>1.59</v>
      </c>
      <c r="E15">
        <v>1.49</v>
      </c>
      <c r="F15">
        <v>144</v>
      </c>
      <c r="G15" s="1">
        <f t="shared" si="5"/>
        <v>25.604339920712995</v>
      </c>
      <c r="H15" s="1">
        <f t="shared" si="6"/>
        <v>31.028340596074955</v>
      </c>
      <c r="I15">
        <f t="shared" si="1"/>
        <v>1.4123222748815167</v>
      </c>
      <c r="J15">
        <f t="shared" si="2"/>
        <v>0.46232227488151678</v>
      </c>
      <c r="K15">
        <f t="shared" si="3"/>
        <v>66.57440758293842</v>
      </c>
      <c r="L15">
        <f t="shared" si="7"/>
        <v>6657.440758293842</v>
      </c>
      <c r="M15">
        <f t="shared" si="4"/>
        <v>214.56</v>
      </c>
      <c r="N15">
        <f t="shared" si="8"/>
        <v>1.5071090047393367</v>
      </c>
      <c r="O15">
        <f t="shared" si="9"/>
        <v>0.40710900473933664</v>
      </c>
      <c r="P15">
        <f t="shared" si="10"/>
        <v>58.623696682464477</v>
      </c>
      <c r="Q15">
        <f t="shared" si="11"/>
        <v>5862.3696682464479</v>
      </c>
      <c r="R15">
        <f t="shared" si="12"/>
        <v>228.96</v>
      </c>
    </row>
    <row r="16" spans="1:18" x14ac:dyDescent="0.25">
      <c r="A16" t="s">
        <v>36</v>
      </c>
      <c r="B16">
        <v>2.9</v>
      </c>
      <c r="C16">
        <v>2.59</v>
      </c>
      <c r="D16">
        <v>4.1900000000000004</v>
      </c>
      <c r="E16">
        <v>4.49</v>
      </c>
      <c r="F16">
        <v>41.13</v>
      </c>
      <c r="G16" s="1">
        <f t="shared" si="5"/>
        <v>25.574319356626606</v>
      </c>
      <c r="H16" s="1">
        <f t="shared" si="6"/>
        <v>37.102988209713018</v>
      </c>
      <c r="I16">
        <f t="shared" si="1"/>
        <v>4.2559241706161144</v>
      </c>
      <c r="J16">
        <f t="shared" si="2"/>
        <v>1.6659241706161145</v>
      </c>
      <c r="K16">
        <f t="shared" si="3"/>
        <v>68.5194611374408</v>
      </c>
      <c r="L16">
        <f t="shared" si="7"/>
        <v>6851.9461137440803</v>
      </c>
      <c r="M16">
        <f t="shared" si="4"/>
        <v>184.67370000000003</v>
      </c>
      <c r="N16">
        <f t="shared" si="8"/>
        <v>3.9715639810426548</v>
      </c>
      <c r="O16">
        <f t="shared" si="9"/>
        <v>1.0715639810426549</v>
      </c>
      <c r="P16">
        <f t="shared" si="10"/>
        <v>44.073426540284402</v>
      </c>
      <c r="Q16">
        <f t="shared" si="11"/>
        <v>4407.3426540284399</v>
      </c>
      <c r="R16">
        <f t="shared" si="12"/>
        <v>172.33470000000003</v>
      </c>
    </row>
    <row r="17" spans="1:18" x14ac:dyDescent="0.25">
      <c r="A17" t="s">
        <v>11</v>
      </c>
      <c r="B17">
        <v>4.59</v>
      </c>
      <c r="C17">
        <v>2.99</v>
      </c>
      <c r="D17">
        <v>6.49</v>
      </c>
      <c r="E17">
        <v>4.99</v>
      </c>
      <c r="F17">
        <v>5</v>
      </c>
      <c r="G17" s="1">
        <f t="shared" si="5"/>
        <v>24.0625387946458</v>
      </c>
      <c r="H17" s="1">
        <f t="shared" si="6"/>
        <v>34.866890178461198</v>
      </c>
      <c r="I17">
        <f t="shared" si="1"/>
        <v>4.7298578199052139</v>
      </c>
      <c r="J17">
        <f t="shared" si="2"/>
        <v>1.7398578199052137</v>
      </c>
      <c r="K17">
        <f t="shared" si="3"/>
        <v>8.6992890995260694</v>
      </c>
      <c r="L17">
        <f t="shared" si="7"/>
        <v>869.928909952607</v>
      </c>
      <c r="M17">
        <f t="shared" si="4"/>
        <v>24.950000000000003</v>
      </c>
      <c r="N17">
        <f t="shared" si="8"/>
        <v>6.1516587677725125</v>
      </c>
      <c r="O17">
        <f t="shared" si="9"/>
        <v>1.5616587677725127</v>
      </c>
      <c r="P17">
        <f t="shared" si="10"/>
        <v>7.8082938388625633</v>
      </c>
      <c r="Q17">
        <f t="shared" si="11"/>
        <v>780.82938388625632</v>
      </c>
      <c r="R17">
        <f t="shared" si="12"/>
        <v>32.450000000000003</v>
      </c>
    </row>
    <row r="18" spans="1:18" x14ac:dyDescent="0.25">
      <c r="A18" t="s">
        <v>22</v>
      </c>
      <c r="B18">
        <v>1.7</v>
      </c>
      <c r="C18">
        <v>1.39</v>
      </c>
      <c r="D18">
        <v>2.79</v>
      </c>
      <c r="E18">
        <v>2.99</v>
      </c>
      <c r="F18">
        <v>22</v>
      </c>
      <c r="G18" s="1">
        <f t="shared" si="5"/>
        <v>33.854830216242846</v>
      </c>
      <c r="H18" s="1">
        <f t="shared" si="6"/>
        <v>48.298435543438643</v>
      </c>
      <c r="I18">
        <f t="shared" si="1"/>
        <v>2.8341232227488153</v>
      </c>
      <c r="J18">
        <f t="shared" si="2"/>
        <v>1.4441232227488154</v>
      </c>
      <c r="K18">
        <f t="shared" si="3"/>
        <v>31.77071090047394</v>
      </c>
      <c r="L18">
        <f t="shared" si="7"/>
        <v>3177.0710900473941</v>
      </c>
      <c r="M18">
        <f t="shared" si="4"/>
        <v>65.78</v>
      </c>
      <c r="N18">
        <f t="shared" si="8"/>
        <v>2.6445497630331753</v>
      </c>
      <c r="O18">
        <f t="shared" si="9"/>
        <v>0.94454976303317539</v>
      </c>
      <c r="P18">
        <f t="shared" si="10"/>
        <v>20.780094786729858</v>
      </c>
      <c r="Q18">
        <f t="shared" si="11"/>
        <v>2078.009478672986</v>
      </c>
      <c r="R18">
        <f t="shared" si="12"/>
        <v>61.38</v>
      </c>
    </row>
    <row r="19" spans="1:18" x14ac:dyDescent="0.25">
      <c r="A19" t="s">
        <v>29</v>
      </c>
      <c r="B19">
        <v>0.4</v>
      </c>
      <c r="C19">
        <v>0.38</v>
      </c>
      <c r="D19">
        <v>0.69</v>
      </c>
      <c r="E19">
        <v>0.69</v>
      </c>
      <c r="F19">
        <v>208</v>
      </c>
      <c r="G19" s="1">
        <f t="shared" si="5"/>
        <v>36.815715365066275</v>
      </c>
      <c r="H19" s="1">
        <f t="shared" si="6"/>
        <v>39.714266089703969</v>
      </c>
      <c r="I19">
        <f t="shared" si="1"/>
        <v>0.65402843601895733</v>
      </c>
      <c r="J19">
        <f t="shared" si="2"/>
        <v>0.27402843601895732</v>
      </c>
      <c r="K19">
        <f t="shared" si="3"/>
        <v>56.997914691943123</v>
      </c>
      <c r="L19">
        <f t="shared" si="7"/>
        <v>5699.7914691943124</v>
      </c>
      <c r="M19">
        <f t="shared" si="4"/>
        <v>143.51999999999998</v>
      </c>
      <c r="N19">
        <f t="shared" si="8"/>
        <v>0.65402843601895733</v>
      </c>
      <c r="O19">
        <f t="shared" si="9"/>
        <v>0.2540284360189573</v>
      </c>
      <c r="P19">
        <f t="shared" si="10"/>
        <v>52.837914691943119</v>
      </c>
      <c r="Q19">
        <f t="shared" si="11"/>
        <v>5283.7914691943115</v>
      </c>
      <c r="R19">
        <f t="shared" si="12"/>
        <v>143.51999999999998</v>
      </c>
    </row>
    <row r="20" spans="1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195" priority="188" operator="lessThan">
      <formula>$C$4</formula>
    </cfRule>
  </conditionalFormatting>
  <conditionalFormatting sqref="C4">
    <cfRule type="cellIs" dxfId="3194" priority="187" operator="lessThan">
      <formula>$B$4</formula>
    </cfRule>
  </conditionalFormatting>
  <conditionalFormatting sqref="B5">
    <cfRule type="cellIs" dxfId="3193" priority="186" operator="lessThan">
      <formula>$C$5</formula>
    </cfRule>
  </conditionalFormatting>
  <conditionalFormatting sqref="C5">
    <cfRule type="cellIs" dxfId="3192" priority="185" operator="lessThan">
      <formula>$B$5</formula>
    </cfRule>
  </conditionalFormatting>
  <conditionalFormatting sqref="B6">
    <cfRule type="cellIs" dxfId="3191" priority="184" operator="lessThan">
      <formula>$C$6</formula>
    </cfRule>
  </conditionalFormatting>
  <conditionalFormatting sqref="C6">
    <cfRule type="cellIs" dxfId="3190" priority="183" operator="lessThan">
      <formula>$B$6</formula>
    </cfRule>
  </conditionalFormatting>
  <conditionalFormatting sqref="B7">
    <cfRule type="cellIs" dxfId="3189" priority="182" operator="lessThan">
      <formula>$C$7</formula>
    </cfRule>
  </conditionalFormatting>
  <conditionalFormatting sqref="C7">
    <cfRule type="cellIs" dxfId="3188" priority="181" operator="lessThan">
      <formula>$B$7</formula>
    </cfRule>
  </conditionalFormatting>
  <conditionalFormatting sqref="B8">
    <cfRule type="cellIs" dxfId="3187" priority="180" operator="lessThan">
      <formula>$C$8</formula>
    </cfRule>
  </conditionalFormatting>
  <conditionalFormatting sqref="C8">
    <cfRule type="cellIs" dxfId="3186" priority="179" operator="lessThan">
      <formula>$B$8</formula>
    </cfRule>
  </conditionalFormatting>
  <conditionalFormatting sqref="B9">
    <cfRule type="cellIs" dxfId="3185" priority="178" operator="lessThan">
      <formula>$C$9</formula>
    </cfRule>
  </conditionalFormatting>
  <conditionalFormatting sqref="C9">
    <cfRule type="cellIs" dxfId="3184" priority="177" operator="lessThan">
      <formula>$B$9</formula>
    </cfRule>
  </conditionalFormatting>
  <conditionalFormatting sqref="B10">
    <cfRule type="cellIs" dxfId="3183" priority="176" operator="lessThan">
      <formula>$C$10</formula>
    </cfRule>
  </conditionalFormatting>
  <conditionalFormatting sqref="C10">
    <cfRule type="cellIs" dxfId="3182" priority="175" operator="lessThan">
      <formula>$B$10</formula>
    </cfRule>
  </conditionalFormatting>
  <conditionalFormatting sqref="B11">
    <cfRule type="cellIs" dxfId="3181" priority="174" operator="lessThan">
      <formula>$C$11</formula>
    </cfRule>
  </conditionalFormatting>
  <conditionalFormatting sqref="C11">
    <cfRule type="cellIs" dxfId="3180" priority="173" operator="lessThan">
      <formula>$B$11</formula>
    </cfRule>
  </conditionalFormatting>
  <conditionalFormatting sqref="B12">
    <cfRule type="cellIs" dxfId="3179" priority="172" operator="lessThan">
      <formula>$C$12</formula>
    </cfRule>
  </conditionalFormatting>
  <conditionalFormatting sqref="C12">
    <cfRule type="cellIs" dxfId="3178" priority="171" operator="lessThan">
      <formula>$B$12</formula>
    </cfRule>
  </conditionalFormatting>
  <conditionalFormatting sqref="B13">
    <cfRule type="cellIs" dxfId="3177" priority="170" operator="lessThan">
      <formula>$C$13</formula>
    </cfRule>
  </conditionalFormatting>
  <conditionalFormatting sqref="C13">
    <cfRule type="cellIs" dxfId="3176" priority="169" operator="lessThan">
      <formula>$B$13</formula>
    </cfRule>
  </conditionalFormatting>
  <conditionalFormatting sqref="B14">
    <cfRule type="cellIs" dxfId="3175" priority="168" operator="lessThan">
      <formula>$C$14</formula>
    </cfRule>
  </conditionalFormatting>
  <conditionalFormatting sqref="C14">
    <cfRule type="cellIs" dxfId="3174" priority="167" operator="lessThan">
      <formula>$B$14</formula>
    </cfRule>
  </conditionalFormatting>
  <conditionalFormatting sqref="B15">
    <cfRule type="cellIs" dxfId="3173" priority="166" operator="lessThan">
      <formula>$C$15</formula>
    </cfRule>
  </conditionalFormatting>
  <conditionalFormatting sqref="C15">
    <cfRule type="cellIs" dxfId="3172" priority="165" operator="lessThan">
      <formula>$B$15</formula>
    </cfRule>
  </conditionalFormatting>
  <conditionalFormatting sqref="B16">
    <cfRule type="cellIs" dxfId="3171" priority="164" operator="lessThan">
      <formula>$C$16</formula>
    </cfRule>
  </conditionalFormatting>
  <conditionalFormatting sqref="C16">
    <cfRule type="cellIs" dxfId="3170" priority="163" operator="lessThan">
      <formula>$B$16</formula>
    </cfRule>
  </conditionalFormatting>
  <conditionalFormatting sqref="B17">
    <cfRule type="cellIs" dxfId="3169" priority="162" operator="lessThan">
      <formula>$C$17</formula>
    </cfRule>
  </conditionalFormatting>
  <conditionalFormatting sqref="C17">
    <cfRule type="cellIs" dxfId="3168" priority="161" operator="lessThan">
      <formula>$B$17</formula>
    </cfRule>
  </conditionalFormatting>
  <conditionalFormatting sqref="B18">
    <cfRule type="cellIs" dxfId="3167" priority="160" operator="lessThan">
      <formula>$C$18</formula>
    </cfRule>
  </conditionalFormatting>
  <conditionalFormatting sqref="C18">
    <cfRule type="cellIs" dxfId="3166" priority="159" operator="lessThan">
      <formula>$B$18</formula>
    </cfRule>
  </conditionalFormatting>
  <conditionalFormatting sqref="C19">
    <cfRule type="cellIs" dxfId="3165" priority="158" operator="lessThan">
      <formula>$B$19</formula>
    </cfRule>
  </conditionalFormatting>
  <conditionalFormatting sqref="B19">
    <cfRule type="cellIs" dxfId="3164" priority="157" operator="lessThan">
      <formula>$C$19</formula>
    </cfRule>
  </conditionalFormatting>
  <conditionalFormatting sqref="B20">
    <cfRule type="cellIs" dxfId="3163" priority="156" operator="lessThan">
      <formula>$C$20</formula>
    </cfRule>
  </conditionalFormatting>
  <conditionalFormatting sqref="C20">
    <cfRule type="cellIs" dxfId="3162" priority="155" operator="lessThan">
      <formula>$B$20</formula>
    </cfRule>
  </conditionalFormatting>
  <conditionalFormatting sqref="B21">
    <cfRule type="cellIs" dxfId="3161" priority="154" operator="lessThan">
      <formula>$C$21</formula>
    </cfRule>
  </conditionalFormatting>
  <conditionalFormatting sqref="C21">
    <cfRule type="cellIs" dxfId="3160" priority="153" operator="lessThan">
      <formula>$B$21</formula>
    </cfRule>
  </conditionalFormatting>
  <conditionalFormatting sqref="B22">
    <cfRule type="cellIs" dxfId="3159" priority="152" operator="lessThan">
      <formula>$C$22</formula>
    </cfRule>
  </conditionalFormatting>
  <conditionalFormatting sqref="C22">
    <cfRule type="cellIs" dxfId="3158" priority="151" operator="lessThan">
      <formula>$B$22</formula>
    </cfRule>
  </conditionalFormatting>
  <conditionalFormatting sqref="B23">
    <cfRule type="cellIs" dxfId="3157" priority="150" operator="lessThan">
      <formula>$C$23</formula>
    </cfRule>
  </conditionalFormatting>
  <conditionalFormatting sqref="C23">
    <cfRule type="cellIs" dxfId="3156" priority="149" operator="lessThan">
      <formula>$B$23</formula>
    </cfRule>
  </conditionalFormatting>
  <conditionalFormatting sqref="B24">
    <cfRule type="cellIs" dxfId="3155" priority="148" operator="lessThan">
      <formula>$C$24</formula>
    </cfRule>
  </conditionalFormatting>
  <conditionalFormatting sqref="C24">
    <cfRule type="cellIs" dxfId="3154" priority="147" operator="lessThan">
      <formula>$B$24</formula>
    </cfRule>
  </conditionalFormatting>
  <conditionalFormatting sqref="B25">
    <cfRule type="cellIs" dxfId="3153" priority="146" operator="lessThan">
      <formula>$C$25</formula>
    </cfRule>
  </conditionalFormatting>
  <conditionalFormatting sqref="C25">
    <cfRule type="cellIs" dxfId="3152" priority="145" operator="lessThan">
      <formula>$B$25</formula>
    </cfRule>
  </conditionalFormatting>
  <conditionalFormatting sqref="B26">
    <cfRule type="cellIs" dxfId="3151" priority="144" operator="lessThan">
      <formula>$C$26</formula>
    </cfRule>
  </conditionalFormatting>
  <conditionalFormatting sqref="C26">
    <cfRule type="cellIs" dxfId="3150" priority="143" operator="lessThan">
      <formula>$B$26</formula>
    </cfRule>
  </conditionalFormatting>
  <conditionalFormatting sqref="B27">
    <cfRule type="cellIs" dxfId="3149" priority="142" operator="lessThan">
      <formula>$C$27</formula>
    </cfRule>
  </conditionalFormatting>
  <conditionalFormatting sqref="C27">
    <cfRule type="cellIs" dxfId="3148" priority="141" operator="lessThan">
      <formula>$B$27</formula>
    </cfRule>
  </conditionalFormatting>
  <conditionalFormatting sqref="B28">
    <cfRule type="cellIs" dxfId="3147" priority="140" operator="lessThan">
      <formula>$C$28</formula>
    </cfRule>
  </conditionalFormatting>
  <conditionalFormatting sqref="C28">
    <cfRule type="cellIs" dxfId="3146" priority="139" operator="lessThan">
      <formula>$B$28</formula>
    </cfRule>
  </conditionalFormatting>
  <conditionalFormatting sqref="B29">
    <cfRule type="cellIs" dxfId="3145" priority="138" operator="lessThan">
      <formula>$C$29</formula>
    </cfRule>
  </conditionalFormatting>
  <conditionalFormatting sqref="C29">
    <cfRule type="cellIs" dxfId="3144" priority="137" operator="lessThan">
      <formula>$B$29</formula>
    </cfRule>
  </conditionalFormatting>
  <conditionalFormatting sqref="B30">
    <cfRule type="cellIs" dxfId="3143" priority="136" operator="lessThan">
      <formula>$C$30</formula>
    </cfRule>
  </conditionalFormatting>
  <conditionalFormatting sqref="C30">
    <cfRule type="cellIs" dxfId="3142" priority="135" operator="lessThan">
      <formula>$B$30</formula>
    </cfRule>
  </conditionalFormatting>
  <conditionalFormatting sqref="B31">
    <cfRule type="cellIs" dxfId="3141" priority="134" operator="lessThan">
      <formula>$C$31</formula>
    </cfRule>
  </conditionalFormatting>
  <conditionalFormatting sqref="C31">
    <cfRule type="cellIs" dxfId="3140" priority="133" operator="lessThan">
      <formula>$B$31</formula>
    </cfRule>
  </conditionalFormatting>
  <conditionalFormatting sqref="B32">
    <cfRule type="cellIs" dxfId="3139" priority="132" operator="lessThan">
      <formula>$C$32</formula>
    </cfRule>
  </conditionalFormatting>
  <conditionalFormatting sqref="C32">
    <cfRule type="cellIs" dxfId="3138" priority="131" operator="lessThan">
      <formula>$B$32</formula>
    </cfRule>
  </conditionalFormatting>
  <conditionalFormatting sqref="B33">
    <cfRule type="cellIs" dxfId="3137" priority="130" operator="lessThan">
      <formula>$C$33</formula>
    </cfRule>
  </conditionalFormatting>
  <conditionalFormatting sqref="C33">
    <cfRule type="cellIs" dxfId="3136" priority="129" operator="lessThan">
      <formula>$B$33</formula>
    </cfRule>
  </conditionalFormatting>
  <conditionalFormatting sqref="B34">
    <cfRule type="cellIs" dxfId="3135" priority="128" operator="lessThan">
      <formula>$C$34</formula>
    </cfRule>
  </conditionalFormatting>
  <conditionalFormatting sqref="C34">
    <cfRule type="cellIs" dxfId="3134" priority="127" operator="lessThan">
      <formula>$B$34</formula>
    </cfRule>
  </conditionalFormatting>
  <conditionalFormatting sqref="B35">
    <cfRule type="cellIs" dxfId="3133" priority="126" operator="lessThan">
      <formula>$C$35</formula>
    </cfRule>
  </conditionalFormatting>
  <conditionalFormatting sqref="C35">
    <cfRule type="cellIs" dxfId="3132" priority="125" operator="lessThan">
      <formula>$B$35</formula>
    </cfRule>
  </conditionalFormatting>
  <conditionalFormatting sqref="B36">
    <cfRule type="cellIs" dxfId="3131" priority="124" operator="lessThan">
      <formula>$C$36</formula>
    </cfRule>
  </conditionalFormatting>
  <conditionalFormatting sqref="C36">
    <cfRule type="cellIs" dxfId="3130" priority="123" operator="lessThan">
      <formula>$B$36</formula>
    </cfRule>
  </conditionalFormatting>
  <conditionalFormatting sqref="B37">
    <cfRule type="cellIs" dxfId="3129" priority="122" operator="lessThan">
      <formula>$C$37</formula>
    </cfRule>
  </conditionalFormatting>
  <conditionalFormatting sqref="C37">
    <cfRule type="cellIs" dxfId="3128" priority="121" operator="lessThan">
      <formula>$B$37</formula>
    </cfRule>
  </conditionalFormatting>
  <conditionalFormatting sqref="B38">
    <cfRule type="cellIs" dxfId="3127" priority="120" operator="lessThan">
      <formula>$C$38</formula>
    </cfRule>
  </conditionalFormatting>
  <conditionalFormatting sqref="C38">
    <cfRule type="cellIs" dxfId="3126" priority="119" operator="lessThan">
      <formula>$B$38</formula>
    </cfRule>
  </conditionalFormatting>
  <conditionalFormatting sqref="B39">
    <cfRule type="cellIs" dxfId="3125" priority="118" operator="lessThan">
      <formula>$C$39</formula>
    </cfRule>
  </conditionalFormatting>
  <conditionalFormatting sqref="C39">
    <cfRule type="cellIs" dxfId="3124" priority="117" operator="lessThan">
      <formula>$B$39</formula>
    </cfRule>
  </conditionalFormatting>
  <conditionalFormatting sqref="B40">
    <cfRule type="cellIs" dxfId="3123" priority="116" operator="lessThan">
      <formula>$C$40</formula>
    </cfRule>
  </conditionalFormatting>
  <conditionalFormatting sqref="C40">
    <cfRule type="cellIs" dxfId="3122" priority="115" operator="lessThan">
      <formula>$B$40</formula>
    </cfRule>
  </conditionalFormatting>
  <conditionalFormatting sqref="B41">
    <cfRule type="cellIs" dxfId="3121" priority="114" operator="lessThan">
      <formula>$C$41</formula>
    </cfRule>
  </conditionalFormatting>
  <conditionalFormatting sqref="C41">
    <cfRule type="cellIs" dxfId="3120" priority="113" operator="lessThan">
      <formula>$B$41</formula>
    </cfRule>
  </conditionalFormatting>
  <conditionalFormatting sqref="B42">
    <cfRule type="cellIs" dxfId="3119" priority="112" operator="lessThan">
      <formula>$C$42</formula>
    </cfRule>
  </conditionalFormatting>
  <conditionalFormatting sqref="C42">
    <cfRule type="cellIs" dxfId="3118" priority="111" operator="lessThan">
      <formula>$B$42</formula>
    </cfRule>
  </conditionalFormatting>
  <conditionalFormatting sqref="B43">
    <cfRule type="cellIs" dxfId="3117" priority="110" operator="lessThan">
      <formula>$C$43</formula>
    </cfRule>
  </conditionalFormatting>
  <conditionalFormatting sqref="C43">
    <cfRule type="cellIs" dxfId="3116" priority="109" operator="lessThan">
      <formula>$B$43</formula>
    </cfRule>
  </conditionalFormatting>
  <conditionalFormatting sqref="B44">
    <cfRule type="cellIs" dxfId="3115" priority="108" operator="lessThan">
      <formula>$C$44</formula>
    </cfRule>
  </conditionalFormatting>
  <conditionalFormatting sqref="C44">
    <cfRule type="cellIs" dxfId="3114" priority="107" operator="lessThan">
      <formula>$B$44</formula>
    </cfRule>
  </conditionalFormatting>
  <conditionalFormatting sqref="B45">
    <cfRule type="cellIs" dxfId="3113" priority="106" operator="lessThan">
      <formula>$C$45</formula>
    </cfRule>
  </conditionalFormatting>
  <conditionalFormatting sqref="C45">
    <cfRule type="cellIs" dxfId="3112" priority="105" operator="lessThan">
      <formula>$B$45</formula>
    </cfRule>
  </conditionalFormatting>
  <conditionalFormatting sqref="B46">
    <cfRule type="cellIs" dxfId="3111" priority="104" operator="lessThan">
      <formula>$C$46</formula>
    </cfRule>
  </conditionalFormatting>
  <conditionalFormatting sqref="C46">
    <cfRule type="cellIs" dxfId="3110" priority="103" operator="lessThan">
      <formula>$B$46</formula>
    </cfRule>
  </conditionalFormatting>
  <conditionalFormatting sqref="B47">
    <cfRule type="cellIs" dxfId="3109" priority="102" operator="lessThan">
      <formula>$C$47</formula>
    </cfRule>
  </conditionalFormatting>
  <conditionalFormatting sqref="C47">
    <cfRule type="cellIs" dxfId="3108" priority="101" operator="lessThan">
      <formula>$B$47</formula>
    </cfRule>
  </conditionalFormatting>
  <conditionalFormatting sqref="B48">
    <cfRule type="cellIs" dxfId="3107" priority="100" operator="lessThan">
      <formula>$C$48</formula>
    </cfRule>
  </conditionalFormatting>
  <conditionalFormatting sqref="C48">
    <cfRule type="cellIs" dxfId="3106" priority="99" operator="lessThan">
      <formula>$B$48</formula>
    </cfRule>
  </conditionalFormatting>
  <conditionalFormatting sqref="B49">
    <cfRule type="cellIs" dxfId="3105" priority="98" operator="lessThan">
      <formula>$C$49</formula>
    </cfRule>
  </conditionalFormatting>
  <conditionalFormatting sqref="C49">
    <cfRule type="cellIs" dxfId="3104" priority="97" operator="lessThan">
      <formula>$B$49</formula>
    </cfRule>
  </conditionalFormatting>
  <conditionalFormatting sqref="B50">
    <cfRule type="cellIs" dxfId="3103" priority="96" operator="lessThan">
      <formula>$C$50</formula>
    </cfRule>
  </conditionalFormatting>
  <conditionalFormatting sqref="C50">
    <cfRule type="cellIs" dxfId="3102" priority="95" operator="lessThan">
      <formula>$B$50</formula>
    </cfRule>
  </conditionalFormatting>
  <conditionalFormatting sqref="D4">
    <cfRule type="cellIs" dxfId="3101" priority="94" operator="lessThan">
      <formula>$E$4</formula>
    </cfRule>
  </conditionalFormatting>
  <conditionalFormatting sqref="E4">
    <cfRule type="cellIs" dxfId="3100" priority="93" operator="lessThan">
      <formula>$D$4</formula>
    </cfRule>
  </conditionalFormatting>
  <conditionalFormatting sqref="D5">
    <cfRule type="cellIs" dxfId="3099" priority="92" operator="lessThan">
      <formula>$E$5</formula>
    </cfRule>
  </conditionalFormatting>
  <conditionalFormatting sqref="E5">
    <cfRule type="cellIs" dxfId="3098" priority="91" operator="lessThan">
      <formula>$D$5</formula>
    </cfRule>
  </conditionalFormatting>
  <conditionalFormatting sqref="D6">
    <cfRule type="cellIs" dxfId="3097" priority="90" operator="lessThan">
      <formula>$E$6</formula>
    </cfRule>
  </conditionalFormatting>
  <conditionalFormatting sqref="E6">
    <cfRule type="cellIs" dxfId="3096" priority="89" operator="lessThan">
      <formula>$D$6</formula>
    </cfRule>
  </conditionalFormatting>
  <conditionalFormatting sqref="D7">
    <cfRule type="cellIs" dxfId="3095" priority="88" operator="lessThan">
      <formula>$E$7</formula>
    </cfRule>
  </conditionalFormatting>
  <conditionalFormatting sqref="E7">
    <cfRule type="cellIs" dxfId="3094" priority="87" operator="lessThan">
      <formula>$D$7</formula>
    </cfRule>
  </conditionalFormatting>
  <conditionalFormatting sqref="D8">
    <cfRule type="cellIs" dxfId="3093" priority="86" operator="lessThan">
      <formula>$E$8</formula>
    </cfRule>
  </conditionalFormatting>
  <conditionalFormatting sqref="E8">
    <cfRule type="cellIs" dxfId="3092" priority="85" operator="lessThan">
      <formula>$D$8</formula>
    </cfRule>
  </conditionalFormatting>
  <conditionalFormatting sqref="D9">
    <cfRule type="cellIs" dxfId="3091" priority="84" operator="lessThan">
      <formula>$E$9</formula>
    </cfRule>
  </conditionalFormatting>
  <conditionalFormatting sqref="E9">
    <cfRule type="cellIs" dxfId="3090" priority="83" operator="lessThan">
      <formula>$D$9</formula>
    </cfRule>
  </conditionalFormatting>
  <conditionalFormatting sqref="D10">
    <cfRule type="cellIs" dxfId="3089" priority="82" operator="lessThan">
      <formula>$E$10</formula>
    </cfRule>
  </conditionalFormatting>
  <conditionalFormatting sqref="E10">
    <cfRule type="cellIs" dxfId="3088" priority="81" operator="lessThan">
      <formula>$D$10</formula>
    </cfRule>
  </conditionalFormatting>
  <conditionalFormatting sqref="D11">
    <cfRule type="cellIs" dxfId="3087" priority="80" operator="lessThan">
      <formula>$E$11</formula>
    </cfRule>
  </conditionalFormatting>
  <conditionalFormatting sqref="E11">
    <cfRule type="cellIs" dxfId="3086" priority="79" operator="lessThan">
      <formula>$D$11</formula>
    </cfRule>
  </conditionalFormatting>
  <conditionalFormatting sqref="D12">
    <cfRule type="cellIs" dxfId="3085" priority="78" operator="lessThan">
      <formula>$E$12</formula>
    </cfRule>
  </conditionalFormatting>
  <conditionalFormatting sqref="E12">
    <cfRule type="cellIs" dxfId="3084" priority="77" operator="lessThan">
      <formula>$D$12</formula>
    </cfRule>
  </conditionalFormatting>
  <conditionalFormatting sqref="D13">
    <cfRule type="cellIs" dxfId="3083" priority="76" operator="lessThan">
      <formula>$E$13</formula>
    </cfRule>
  </conditionalFormatting>
  <conditionalFormatting sqref="E13">
    <cfRule type="cellIs" dxfId="3082" priority="75" operator="lessThan">
      <formula>$D$13</formula>
    </cfRule>
  </conditionalFormatting>
  <conditionalFormatting sqref="D14">
    <cfRule type="cellIs" dxfId="3081" priority="74" operator="lessThan">
      <formula>$E$14</formula>
    </cfRule>
  </conditionalFormatting>
  <conditionalFormatting sqref="E14">
    <cfRule type="cellIs" dxfId="3080" priority="73" operator="lessThan">
      <formula>$D$14</formula>
    </cfRule>
  </conditionalFormatting>
  <conditionalFormatting sqref="D15">
    <cfRule type="cellIs" dxfId="3079" priority="72" operator="lessThan">
      <formula>$E$15</formula>
    </cfRule>
  </conditionalFormatting>
  <conditionalFormatting sqref="E15">
    <cfRule type="cellIs" dxfId="3078" priority="71" operator="lessThan">
      <formula>$D$15</formula>
    </cfRule>
  </conditionalFormatting>
  <conditionalFormatting sqref="D16">
    <cfRule type="cellIs" dxfId="3077" priority="70" operator="lessThan">
      <formula>$E$16</formula>
    </cfRule>
  </conditionalFormatting>
  <conditionalFormatting sqref="E16">
    <cfRule type="cellIs" dxfId="3076" priority="69" operator="lessThan">
      <formula>$D$16</formula>
    </cfRule>
  </conditionalFormatting>
  <conditionalFormatting sqref="D17">
    <cfRule type="cellIs" dxfId="3075" priority="68" operator="lessThan">
      <formula>$E$17</formula>
    </cfRule>
  </conditionalFormatting>
  <conditionalFormatting sqref="E17">
    <cfRule type="cellIs" dxfId="3074" priority="67" operator="lessThan">
      <formula>$D$17</formula>
    </cfRule>
  </conditionalFormatting>
  <conditionalFormatting sqref="D18">
    <cfRule type="cellIs" dxfId="3073" priority="66" operator="lessThan">
      <formula>$E$18</formula>
    </cfRule>
  </conditionalFormatting>
  <conditionalFormatting sqref="E18">
    <cfRule type="cellIs" dxfId="3072" priority="65" operator="lessThan">
      <formula>$D$18</formula>
    </cfRule>
  </conditionalFormatting>
  <conditionalFormatting sqref="D19">
    <cfRule type="cellIs" dxfId="3071" priority="64" operator="lessThan">
      <formula>$E$19</formula>
    </cfRule>
  </conditionalFormatting>
  <conditionalFormatting sqref="E19">
    <cfRule type="cellIs" dxfId="3070" priority="63" operator="lessThan">
      <formula>$D$19</formula>
    </cfRule>
  </conditionalFormatting>
  <conditionalFormatting sqref="D20">
    <cfRule type="cellIs" dxfId="3069" priority="62" operator="lessThan">
      <formula>$E$20</formula>
    </cfRule>
  </conditionalFormatting>
  <conditionalFormatting sqref="E20">
    <cfRule type="cellIs" dxfId="3068" priority="61" operator="lessThan">
      <formula>$D$20</formula>
    </cfRule>
  </conditionalFormatting>
  <conditionalFormatting sqref="D21">
    <cfRule type="cellIs" dxfId="3067" priority="60" operator="lessThan">
      <formula>$E$21</formula>
    </cfRule>
  </conditionalFormatting>
  <conditionalFormatting sqref="E21">
    <cfRule type="cellIs" dxfId="3066" priority="59" operator="lessThan">
      <formula>$D$21</formula>
    </cfRule>
  </conditionalFormatting>
  <conditionalFormatting sqref="D22">
    <cfRule type="cellIs" dxfId="3065" priority="58" operator="lessThan">
      <formula>$E$22</formula>
    </cfRule>
  </conditionalFormatting>
  <conditionalFormatting sqref="E22">
    <cfRule type="cellIs" dxfId="3064" priority="57" operator="lessThan">
      <formula>$D$22</formula>
    </cfRule>
  </conditionalFormatting>
  <conditionalFormatting sqref="D23">
    <cfRule type="cellIs" dxfId="3063" priority="56" operator="lessThan">
      <formula>$E$23</formula>
    </cfRule>
  </conditionalFormatting>
  <conditionalFormatting sqref="E23">
    <cfRule type="cellIs" dxfId="3062" priority="55" operator="lessThan">
      <formula>$D$23</formula>
    </cfRule>
  </conditionalFormatting>
  <conditionalFormatting sqref="D24">
    <cfRule type="cellIs" dxfId="3061" priority="54" operator="lessThan">
      <formula>$E$24</formula>
    </cfRule>
  </conditionalFormatting>
  <conditionalFormatting sqref="E24">
    <cfRule type="cellIs" dxfId="3060" priority="53" operator="lessThan">
      <formula>$D$24</formula>
    </cfRule>
  </conditionalFormatting>
  <conditionalFormatting sqref="D25">
    <cfRule type="cellIs" dxfId="3059" priority="52" operator="lessThan">
      <formula>$E$25</formula>
    </cfRule>
  </conditionalFormatting>
  <conditionalFormatting sqref="E25">
    <cfRule type="cellIs" dxfId="3058" priority="51" operator="lessThan">
      <formula>$D$25</formula>
    </cfRule>
  </conditionalFormatting>
  <conditionalFormatting sqref="D26">
    <cfRule type="cellIs" dxfId="3057" priority="50" operator="lessThan">
      <formula>$E$26</formula>
    </cfRule>
  </conditionalFormatting>
  <conditionalFormatting sqref="E26">
    <cfRule type="cellIs" dxfId="3056" priority="49" operator="lessThan">
      <formula>$D$26</formula>
    </cfRule>
  </conditionalFormatting>
  <conditionalFormatting sqref="D27">
    <cfRule type="cellIs" dxfId="3055" priority="48" operator="lessThan">
      <formula>$E$27</formula>
    </cfRule>
  </conditionalFormatting>
  <conditionalFormatting sqref="E27">
    <cfRule type="cellIs" dxfId="3054" priority="47" operator="lessThan">
      <formula>$D$27</formula>
    </cfRule>
  </conditionalFormatting>
  <conditionalFormatting sqref="D28">
    <cfRule type="cellIs" dxfId="3053" priority="46" operator="lessThan">
      <formula>$E$28</formula>
    </cfRule>
  </conditionalFormatting>
  <conditionalFormatting sqref="E28">
    <cfRule type="cellIs" dxfId="3052" priority="45" operator="lessThan">
      <formula>$D$28</formula>
    </cfRule>
  </conditionalFormatting>
  <conditionalFormatting sqref="D29">
    <cfRule type="cellIs" dxfId="3051" priority="44" operator="lessThan">
      <formula>$E$29</formula>
    </cfRule>
  </conditionalFormatting>
  <conditionalFormatting sqref="E29">
    <cfRule type="cellIs" dxfId="3050" priority="43" operator="lessThan">
      <formula>$D$29</formula>
    </cfRule>
  </conditionalFormatting>
  <conditionalFormatting sqref="D30">
    <cfRule type="cellIs" dxfId="3049" priority="42" operator="lessThan">
      <formula>$E$30</formula>
    </cfRule>
  </conditionalFormatting>
  <conditionalFormatting sqref="E30">
    <cfRule type="cellIs" dxfId="3048" priority="41" operator="lessThan">
      <formula>$D$30</formula>
    </cfRule>
  </conditionalFormatting>
  <conditionalFormatting sqref="D31">
    <cfRule type="cellIs" dxfId="3047" priority="40" operator="lessThan">
      <formula>$E$31</formula>
    </cfRule>
  </conditionalFormatting>
  <conditionalFormatting sqref="E31">
    <cfRule type="cellIs" dxfId="3046" priority="39" operator="lessThan">
      <formula>$D$31</formula>
    </cfRule>
  </conditionalFormatting>
  <conditionalFormatting sqref="D32">
    <cfRule type="cellIs" dxfId="3045" priority="38" operator="lessThan">
      <formula>$E$32</formula>
    </cfRule>
  </conditionalFormatting>
  <conditionalFormatting sqref="E32">
    <cfRule type="cellIs" dxfId="3044" priority="37" operator="lessThan">
      <formula>$D$32</formula>
    </cfRule>
  </conditionalFormatting>
  <conditionalFormatting sqref="D33">
    <cfRule type="cellIs" dxfId="3043" priority="36" operator="lessThan">
      <formula>$E$33</formula>
    </cfRule>
  </conditionalFormatting>
  <conditionalFormatting sqref="E33">
    <cfRule type="cellIs" dxfId="3042" priority="35" operator="lessThan">
      <formula>$D$33</formula>
    </cfRule>
  </conditionalFormatting>
  <conditionalFormatting sqref="D34">
    <cfRule type="cellIs" dxfId="3041" priority="34" operator="lessThan">
      <formula>$E$34</formula>
    </cfRule>
  </conditionalFormatting>
  <conditionalFormatting sqref="E34">
    <cfRule type="cellIs" dxfId="3040" priority="33" operator="lessThan">
      <formula>$D$34</formula>
    </cfRule>
  </conditionalFormatting>
  <conditionalFormatting sqref="D35">
    <cfRule type="cellIs" dxfId="3039" priority="32" operator="lessThan">
      <formula>$E$35</formula>
    </cfRule>
  </conditionalFormatting>
  <conditionalFormatting sqref="E35">
    <cfRule type="cellIs" dxfId="3038" priority="31" operator="lessThan">
      <formula>$D$35</formula>
    </cfRule>
  </conditionalFormatting>
  <conditionalFormatting sqref="D36">
    <cfRule type="cellIs" dxfId="3037" priority="30" operator="lessThan">
      <formula>$E$36</formula>
    </cfRule>
  </conditionalFormatting>
  <conditionalFormatting sqref="E36">
    <cfRule type="cellIs" dxfId="3036" priority="29" operator="lessThan">
      <formula>$D$36</formula>
    </cfRule>
  </conditionalFormatting>
  <conditionalFormatting sqref="D37">
    <cfRule type="cellIs" dxfId="3035" priority="28" operator="lessThan">
      <formula>$E$37</formula>
    </cfRule>
  </conditionalFormatting>
  <conditionalFormatting sqref="E37">
    <cfRule type="cellIs" dxfId="3034" priority="27" operator="lessThan">
      <formula>$D$37</formula>
    </cfRule>
  </conditionalFormatting>
  <conditionalFormatting sqref="D38">
    <cfRule type="cellIs" dxfId="3033" priority="26" operator="lessThan">
      <formula>$E$38</formula>
    </cfRule>
  </conditionalFormatting>
  <conditionalFormatting sqref="E38">
    <cfRule type="cellIs" dxfId="3032" priority="25" operator="lessThan">
      <formula>$D$38</formula>
    </cfRule>
  </conditionalFormatting>
  <conditionalFormatting sqref="D39">
    <cfRule type="cellIs" dxfId="3031" priority="24" operator="lessThan">
      <formula>$E$39</formula>
    </cfRule>
  </conditionalFormatting>
  <conditionalFormatting sqref="E39">
    <cfRule type="cellIs" dxfId="3030" priority="23" operator="lessThan">
      <formula>$D$39</formula>
    </cfRule>
  </conditionalFormatting>
  <conditionalFormatting sqref="D40">
    <cfRule type="cellIs" dxfId="3029" priority="22" operator="lessThan">
      <formula>$E$40</formula>
    </cfRule>
  </conditionalFormatting>
  <conditionalFormatting sqref="E40">
    <cfRule type="cellIs" dxfId="3028" priority="21" operator="lessThan">
      <formula>$D$40</formula>
    </cfRule>
  </conditionalFormatting>
  <conditionalFormatting sqref="D41">
    <cfRule type="cellIs" dxfId="3027" priority="20" operator="lessThan">
      <formula>$E$41</formula>
    </cfRule>
  </conditionalFormatting>
  <conditionalFormatting sqref="E41">
    <cfRule type="cellIs" dxfId="3026" priority="19" operator="lessThan">
      <formula>$D$41</formula>
    </cfRule>
  </conditionalFormatting>
  <conditionalFormatting sqref="D42">
    <cfRule type="cellIs" dxfId="3025" priority="18" operator="lessThan">
      <formula>$E$42</formula>
    </cfRule>
  </conditionalFormatting>
  <conditionalFormatting sqref="E42">
    <cfRule type="cellIs" dxfId="3024" priority="17" operator="lessThan">
      <formula>$D$42</formula>
    </cfRule>
  </conditionalFormatting>
  <conditionalFormatting sqref="D43">
    <cfRule type="cellIs" dxfId="3023" priority="16" operator="lessThan">
      <formula>$E$43</formula>
    </cfRule>
  </conditionalFormatting>
  <conditionalFormatting sqref="E43">
    <cfRule type="cellIs" dxfId="3022" priority="15" operator="lessThan">
      <formula>$D$43</formula>
    </cfRule>
  </conditionalFormatting>
  <conditionalFormatting sqref="D44">
    <cfRule type="cellIs" dxfId="3021" priority="14" operator="lessThan">
      <formula>$E$44</formula>
    </cfRule>
  </conditionalFormatting>
  <conditionalFormatting sqref="E44">
    <cfRule type="cellIs" dxfId="3020" priority="13" operator="lessThan">
      <formula>$D$44</formula>
    </cfRule>
  </conditionalFormatting>
  <conditionalFormatting sqref="D45">
    <cfRule type="cellIs" dxfId="3019" priority="12" operator="lessThan">
      <formula>$E$45</formula>
    </cfRule>
  </conditionalFormatting>
  <conditionalFormatting sqref="E45">
    <cfRule type="cellIs" dxfId="3018" priority="11" operator="lessThan">
      <formula>$D$45</formula>
    </cfRule>
  </conditionalFormatting>
  <conditionalFormatting sqref="D46">
    <cfRule type="cellIs" dxfId="3017" priority="10" operator="lessThan">
      <formula>$E$46</formula>
    </cfRule>
  </conditionalFormatting>
  <conditionalFormatting sqref="E46">
    <cfRule type="cellIs" dxfId="3016" priority="9" operator="lessThan">
      <formula>$D$46</formula>
    </cfRule>
  </conditionalFormatting>
  <conditionalFormatting sqref="D47">
    <cfRule type="cellIs" dxfId="3015" priority="8" operator="lessThan">
      <formula>$E$47</formula>
    </cfRule>
  </conditionalFormatting>
  <conditionalFormatting sqref="E47">
    <cfRule type="cellIs" dxfId="3014" priority="7" operator="lessThan">
      <formula>$D$47</formula>
    </cfRule>
  </conditionalFormatting>
  <conditionalFormatting sqref="D48">
    <cfRule type="cellIs" dxfId="3013" priority="6" operator="lessThan">
      <formula>$E$48</formula>
    </cfRule>
  </conditionalFormatting>
  <conditionalFormatting sqref="E48">
    <cfRule type="cellIs" dxfId="3012" priority="5" operator="lessThan">
      <formula>$D$48</formula>
    </cfRule>
  </conditionalFormatting>
  <conditionalFormatting sqref="D49">
    <cfRule type="cellIs" dxfId="3011" priority="4" operator="lessThan">
      <formula>$E$49</formula>
    </cfRule>
  </conditionalFormatting>
  <conditionalFormatting sqref="E49">
    <cfRule type="cellIs" dxfId="3010" priority="3" operator="lessThan">
      <formula>$D$49</formula>
    </cfRule>
  </conditionalFormatting>
  <conditionalFormatting sqref="D50">
    <cfRule type="cellIs" dxfId="3009" priority="2" operator="lessThan">
      <formula>$E$50</formula>
    </cfRule>
  </conditionalFormatting>
  <conditionalFormatting sqref="E50">
    <cfRule type="cellIs" dxfId="3008" priority="1" operator="lessThan">
      <formula>$D$50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20" sqref="E20"/>
    </sheetView>
  </sheetViews>
  <sheetFormatPr baseColWidth="10" defaultRowHeight="15" x14ac:dyDescent="0.25"/>
  <sheetData>
    <row r="1" spans="1:18" x14ac:dyDescent="0.25">
      <c r="A1" s="1"/>
      <c r="B1" s="2">
        <f>AVERAGE(B4:B38)</f>
        <v>2.169999999999999</v>
      </c>
      <c r="C1" s="2">
        <f>AVERAGE(C4:C30)</f>
        <v>1.8229411764705881</v>
      </c>
      <c r="D1" s="2">
        <f>AVERAGE(D4:D60)</f>
        <v>3.1076470588235292</v>
      </c>
      <c r="E1" s="2">
        <f>AVERAGE(E4:E60)</f>
        <v>3.1076470588235292</v>
      </c>
      <c r="F1" s="1">
        <f>SUM(F4:F50)</f>
        <v>1028.1660000000002</v>
      </c>
      <c r="G1" s="1">
        <f>D1-E1</f>
        <v>0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25.538281692908733</v>
      </c>
      <c r="H3" s="2">
        <f>L3/M3</f>
        <v>33.792093573659734</v>
      </c>
      <c r="I3" s="4">
        <f t="shared" ref="I3:R3" si="0">SUM(I4:I50)</f>
        <v>50.075829383886258</v>
      </c>
      <c r="J3" s="4">
        <f t="shared" si="0"/>
        <v>19.085829383886267</v>
      </c>
      <c r="K3" s="4">
        <f t="shared" si="0"/>
        <v>805.8959272985785</v>
      </c>
      <c r="L3" s="4">
        <f t="shared" si="0"/>
        <v>80589.592729857846</v>
      </c>
      <c r="M3" s="4">
        <f t="shared" si="0"/>
        <v>2384.8653400000003</v>
      </c>
      <c r="N3" s="4">
        <f t="shared" si="0"/>
        <v>50.075829383886251</v>
      </c>
      <c r="O3" s="4">
        <f t="shared" si="0"/>
        <v>13.185829383886261</v>
      </c>
      <c r="P3" s="4">
        <f t="shared" si="0"/>
        <v>635.42195545023719</v>
      </c>
      <c r="Q3" s="4">
        <f t="shared" si="0"/>
        <v>63542.195545023729</v>
      </c>
      <c r="R3" s="4">
        <f t="shared" si="0"/>
        <v>2488.1155400000002</v>
      </c>
    </row>
    <row r="4" spans="1:18" x14ac:dyDescent="0.25">
      <c r="A4" s="5" t="s">
        <v>35</v>
      </c>
      <c r="B4">
        <v>2.8</v>
      </c>
      <c r="C4">
        <v>2.1</v>
      </c>
      <c r="D4">
        <v>3.99</v>
      </c>
      <c r="E4">
        <v>3.99</v>
      </c>
      <c r="F4">
        <v>10</v>
      </c>
      <c r="G4" s="1">
        <f>Q4/R4</f>
        <v>24.611291261328695</v>
      </c>
      <c r="H4" s="1">
        <f>L4/M4</f>
        <v>42.155150910451489</v>
      </c>
      <c r="I4">
        <f t="shared" ref="I4:I51" si="1">E4/1.055</f>
        <v>3.7819905213270149</v>
      </c>
      <c r="J4">
        <f t="shared" ref="J4:J51" si="2">I4-C4</f>
        <v>1.6819905213270148</v>
      </c>
      <c r="K4">
        <f t="shared" ref="K4:K51" si="3">J4*F4</f>
        <v>16.819905213270147</v>
      </c>
      <c r="L4">
        <f>K4*100</f>
        <v>1681.9905213270147</v>
      </c>
      <c r="M4">
        <f t="shared" ref="M4:M51" si="4">E4*F4</f>
        <v>39.900000000000006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s="5" t="s">
        <v>10</v>
      </c>
      <c r="B5">
        <v>2.95</v>
      </c>
      <c r="C5">
        <v>2.1</v>
      </c>
      <c r="D5">
        <v>4.49</v>
      </c>
      <c r="E5">
        <v>4.99</v>
      </c>
      <c r="F5">
        <v>10</v>
      </c>
      <c r="G5" s="1">
        <f t="shared" ref="G5:G51" si="5">Q5/R5</f>
        <v>29.085170837775369</v>
      </c>
      <c r="H5" s="1">
        <f t="shared" ref="H5:H51" si="6">L5/M5</f>
        <v>52.702561521146556</v>
      </c>
      <c r="I5">
        <f t="shared" si="1"/>
        <v>4.7298578199052139</v>
      </c>
      <c r="J5">
        <f t="shared" si="2"/>
        <v>2.6298578199052138</v>
      </c>
      <c r="K5">
        <f t="shared" si="3"/>
        <v>26.298578199052137</v>
      </c>
      <c r="L5">
        <f t="shared" ref="L5:L51" si="7">K5*100</f>
        <v>2629.8578199052135</v>
      </c>
      <c r="M5">
        <f t="shared" si="4"/>
        <v>49.900000000000006</v>
      </c>
      <c r="N5">
        <f t="shared" ref="N5:N51" si="8">D5/1.055</f>
        <v>4.2559241706161144</v>
      </c>
      <c r="O5">
        <f t="shared" ref="O5:O51" si="9">N5-B5</f>
        <v>1.3059241706161142</v>
      </c>
      <c r="P5">
        <f t="shared" ref="P5:P51" si="10">O5*F5</f>
        <v>13.059241706161142</v>
      </c>
      <c r="Q5">
        <f t="shared" ref="Q5:Q51" si="11">P5*100</f>
        <v>1305.9241706161142</v>
      </c>
      <c r="R5">
        <f t="shared" ref="R5:R51" si="12">D5*F5</f>
        <v>44.900000000000006</v>
      </c>
    </row>
    <row r="6" spans="1:18" x14ac:dyDescent="0.25">
      <c r="A6" s="5" t="s">
        <v>31</v>
      </c>
      <c r="B6">
        <v>5.2</v>
      </c>
      <c r="C6">
        <v>3.99</v>
      </c>
      <c r="D6">
        <v>6.99</v>
      </c>
      <c r="E6">
        <v>5.99</v>
      </c>
      <c r="F6">
        <v>100</v>
      </c>
      <c r="G6" s="1">
        <f t="shared" si="5"/>
        <v>20.394741302741227</v>
      </c>
      <c r="H6" s="1">
        <f t="shared" si="6"/>
        <v>28.175711493880012</v>
      </c>
      <c r="I6">
        <f t="shared" si="1"/>
        <v>5.677725118483413</v>
      </c>
      <c r="J6">
        <f t="shared" si="2"/>
        <v>1.6877251184834128</v>
      </c>
      <c r="K6">
        <f t="shared" si="3"/>
        <v>168.77251184834128</v>
      </c>
      <c r="L6">
        <f t="shared" si="7"/>
        <v>16877.251184834127</v>
      </c>
      <c r="M6">
        <f t="shared" si="4"/>
        <v>599</v>
      </c>
      <c r="N6">
        <f t="shared" si="8"/>
        <v>6.6255924170616121</v>
      </c>
      <c r="O6">
        <f t="shared" si="9"/>
        <v>1.4255924170616119</v>
      </c>
      <c r="P6">
        <f t="shared" si="10"/>
        <v>142.55924170616117</v>
      </c>
      <c r="Q6">
        <f t="shared" si="11"/>
        <v>14255.924170616117</v>
      </c>
      <c r="R6">
        <f t="shared" si="12"/>
        <v>699</v>
      </c>
    </row>
    <row r="7" spans="1:18" x14ac:dyDescent="0.25">
      <c r="A7" s="5" t="s">
        <v>37</v>
      </c>
      <c r="B7">
        <v>1</v>
      </c>
      <c r="C7">
        <v>0.9</v>
      </c>
      <c r="D7">
        <v>1.49</v>
      </c>
      <c r="E7">
        <v>1.49</v>
      </c>
      <c r="F7">
        <v>36</v>
      </c>
      <c r="G7" s="1">
        <f t="shared" si="5"/>
        <v>27.672635898088373</v>
      </c>
      <c r="H7" s="1">
        <f t="shared" si="6"/>
        <v>34.384045294061529</v>
      </c>
      <c r="I7">
        <f t="shared" si="1"/>
        <v>1.4123222748815167</v>
      </c>
      <c r="J7">
        <f t="shared" si="2"/>
        <v>0.51232227488151671</v>
      </c>
      <c r="K7">
        <f t="shared" si="3"/>
        <v>18.443601895734602</v>
      </c>
      <c r="L7">
        <f t="shared" si="7"/>
        <v>1844.3601895734603</v>
      </c>
      <c r="M7">
        <f t="shared" si="4"/>
        <v>53.64</v>
      </c>
      <c r="N7">
        <f t="shared" si="8"/>
        <v>1.4123222748815167</v>
      </c>
      <c r="O7">
        <f t="shared" si="9"/>
        <v>0.41232227488151674</v>
      </c>
      <c r="P7">
        <f t="shared" si="10"/>
        <v>14.843601895734603</v>
      </c>
      <c r="Q7">
        <f t="shared" si="11"/>
        <v>1484.3601895734603</v>
      </c>
      <c r="R7">
        <f t="shared" si="12"/>
        <v>53.64</v>
      </c>
    </row>
    <row r="8" spans="1:18" x14ac:dyDescent="0.25">
      <c r="A8" s="5" t="s">
        <v>15</v>
      </c>
      <c r="B8">
        <v>1.45</v>
      </c>
      <c r="C8">
        <v>1.4</v>
      </c>
      <c r="D8">
        <v>1.99</v>
      </c>
      <c r="E8">
        <v>1.99</v>
      </c>
      <c r="F8">
        <v>36</v>
      </c>
      <c r="G8" s="1">
        <f t="shared" si="5"/>
        <v>21.922408249779714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17.505213270142189</v>
      </c>
      <c r="L8">
        <f t="shared" si="7"/>
        <v>1750.521327014219</v>
      </c>
      <c r="M8">
        <f t="shared" si="4"/>
        <v>71.64</v>
      </c>
      <c r="N8">
        <f t="shared" si="8"/>
        <v>1.8862559241706163</v>
      </c>
      <c r="O8">
        <f t="shared" si="9"/>
        <v>0.43625592417061632</v>
      </c>
      <c r="P8">
        <f t="shared" si="10"/>
        <v>15.705213270142188</v>
      </c>
      <c r="Q8">
        <f t="shared" si="11"/>
        <v>1570.5213270142187</v>
      </c>
      <c r="R8">
        <f t="shared" si="12"/>
        <v>71.64</v>
      </c>
    </row>
    <row r="9" spans="1:18" x14ac:dyDescent="0.25">
      <c r="A9" s="5" t="s">
        <v>38</v>
      </c>
      <c r="B9">
        <v>1.45</v>
      </c>
      <c r="C9">
        <v>1.4</v>
      </c>
      <c r="D9">
        <v>1.89</v>
      </c>
      <c r="E9">
        <v>1.99</v>
      </c>
      <c r="F9">
        <v>24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11.670142180094793</v>
      </c>
      <c r="L9">
        <f t="shared" si="7"/>
        <v>1167.0142180094792</v>
      </c>
      <c r="M9">
        <f t="shared" si="4"/>
        <v>47.76</v>
      </c>
      <c r="N9">
        <f t="shared" si="8"/>
        <v>1.7914691943127963</v>
      </c>
      <c r="O9">
        <f t="shared" si="9"/>
        <v>0.34146919431279632</v>
      </c>
      <c r="P9">
        <f t="shared" si="10"/>
        <v>8.1952606635071117</v>
      </c>
      <c r="Q9">
        <f t="shared" si="11"/>
        <v>819.52606635071118</v>
      </c>
      <c r="R9">
        <f t="shared" si="12"/>
        <v>45.36</v>
      </c>
    </row>
    <row r="10" spans="1:18" x14ac:dyDescent="0.25">
      <c r="A10" s="5" t="s">
        <v>39</v>
      </c>
      <c r="B10">
        <v>1.45</v>
      </c>
      <c r="C10">
        <v>1.4</v>
      </c>
      <c r="D10">
        <v>1.89</v>
      </c>
      <c r="E10">
        <v>1.99</v>
      </c>
      <c r="F10">
        <v>24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11.670142180094793</v>
      </c>
      <c r="L10">
        <f t="shared" si="7"/>
        <v>1167.0142180094792</v>
      </c>
      <c r="M10">
        <f t="shared" si="4"/>
        <v>47.76</v>
      </c>
      <c r="N10">
        <f t="shared" si="8"/>
        <v>1.7914691943127963</v>
      </c>
      <c r="O10">
        <f t="shared" si="9"/>
        <v>0.34146919431279632</v>
      </c>
      <c r="P10">
        <f t="shared" si="10"/>
        <v>8.1952606635071117</v>
      </c>
      <c r="Q10">
        <f t="shared" si="11"/>
        <v>819.52606635071118</v>
      </c>
      <c r="R10">
        <f t="shared" si="12"/>
        <v>45.36</v>
      </c>
    </row>
    <row r="11" spans="1:18" x14ac:dyDescent="0.25">
      <c r="A11" s="5" t="s">
        <v>12</v>
      </c>
      <c r="B11">
        <v>2.75</v>
      </c>
      <c r="C11">
        <v>1.69</v>
      </c>
      <c r="D11">
        <v>3.99</v>
      </c>
      <c r="E11">
        <v>2.99</v>
      </c>
      <c r="F11">
        <v>25</v>
      </c>
      <c r="G11" s="1">
        <f t="shared" si="5"/>
        <v>25.864424093408896</v>
      </c>
      <c r="H11" s="1">
        <f t="shared" si="6"/>
        <v>38.264990727385133</v>
      </c>
      <c r="I11">
        <f t="shared" si="1"/>
        <v>2.8341232227488153</v>
      </c>
      <c r="J11">
        <f t="shared" si="2"/>
        <v>1.1441232227488154</v>
      </c>
      <c r="K11">
        <f t="shared" si="3"/>
        <v>28.603080568720387</v>
      </c>
      <c r="L11">
        <f t="shared" si="7"/>
        <v>2860.3080568720388</v>
      </c>
      <c r="M11">
        <f t="shared" si="4"/>
        <v>74.75</v>
      </c>
      <c r="N11">
        <f t="shared" si="8"/>
        <v>3.7819905213270149</v>
      </c>
      <c r="O11">
        <f t="shared" si="9"/>
        <v>1.0319905213270149</v>
      </c>
      <c r="P11">
        <f t="shared" si="10"/>
        <v>25.79976303317537</v>
      </c>
      <c r="Q11">
        <f t="shared" si="11"/>
        <v>2579.9763033175373</v>
      </c>
      <c r="R11">
        <f t="shared" si="12"/>
        <v>99.75</v>
      </c>
    </row>
    <row r="12" spans="1:18" x14ac:dyDescent="0.25">
      <c r="A12" s="5" t="s">
        <v>25</v>
      </c>
      <c r="B12">
        <v>2.8</v>
      </c>
      <c r="C12">
        <v>2.4500000000000002</v>
      </c>
      <c r="D12">
        <v>3.99</v>
      </c>
      <c r="E12">
        <v>3.99</v>
      </c>
      <c r="F12">
        <v>20</v>
      </c>
      <c r="G12" s="1">
        <f t="shared" si="5"/>
        <v>24.611291261328695</v>
      </c>
      <c r="H12" s="1">
        <f t="shared" si="6"/>
        <v>33.383221085890085</v>
      </c>
      <c r="I12">
        <f t="shared" si="1"/>
        <v>3.7819905213270149</v>
      </c>
      <c r="J12">
        <f t="shared" si="2"/>
        <v>1.3319905213270147</v>
      </c>
      <c r="K12">
        <f t="shared" si="3"/>
        <v>26.639810426540294</v>
      </c>
      <c r="L12">
        <f t="shared" si="7"/>
        <v>2663.9810426540294</v>
      </c>
      <c r="M12">
        <f t="shared" si="4"/>
        <v>79.800000000000011</v>
      </c>
      <c r="N12">
        <f t="shared" si="8"/>
        <v>3.7819905213270149</v>
      </c>
      <c r="O12">
        <f t="shared" si="9"/>
        <v>0.98199052132701503</v>
      </c>
      <c r="P12">
        <f t="shared" si="10"/>
        <v>19.639810426540301</v>
      </c>
      <c r="Q12">
        <f t="shared" si="11"/>
        <v>1963.98104265403</v>
      </c>
      <c r="R12">
        <f t="shared" si="12"/>
        <v>79.800000000000011</v>
      </c>
    </row>
    <row r="13" spans="1:18" x14ac:dyDescent="0.25">
      <c r="A13" s="5" t="s">
        <v>40</v>
      </c>
      <c r="B13">
        <v>1.45</v>
      </c>
      <c r="C13">
        <v>1.4</v>
      </c>
      <c r="D13">
        <v>1.89</v>
      </c>
      <c r="E13">
        <v>1.99</v>
      </c>
      <c r="F13">
        <v>36</v>
      </c>
      <c r="G13" s="1">
        <f t="shared" si="5"/>
        <v>18.067153138243192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17.505213270142189</v>
      </c>
      <c r="L13">
        <f t="shared" si="7"/>
        <v>1750.521327014219</v>
      </c>
      <c r="M13">
        <f t="shared" si="4"/>
        <v>71.64</v>
      </c>
      <c r="N13">
        <f t="shared" si="8"/>
        <v>1.7914691943127963</v>
      </c>
      <c r="O13">
        <f t="shared" si="9"/>
        <v>0.34146919431279632</v>
      </c>
      <c r="P13">
        <f t="shared" si="10"/>
        <v>12.292890995260667</v>
      </c>
      <c r="Q13">
        <f t="shared" si="11"/>
        <v>1229.2890995260666</v>
      </c>
      <c r="R13">
        <f t="shared" si="12"/>
        <v>68.039999999999992</v>
      </c>
    </row>
    <row r="14" spans="1:18" x14ac:dyDescent="0.25">
      <c r="A14" s="5" t="s">
        <v>32</v>
      </c>
      <c r="B14">
        <v>2.9</v>
      </c>
      <c r="C14">
        <v>2.59</v>
      </c>
      <c r="D14">
        <v>4.1900000000000004</v>
      </c>
      <c r="E14">
        <v>4.49</v>
      </c>
      <c r="F14">
        <v>27.036000000000001</v>
      </c>
      <c r="G14" s="1">
        <f t="shared" si="5"/>
        <v>25.574319356626606</v>
      </c>
      <c r="H14" s="1">
        <f t="shared" si="6"/>
        <v>37.102988209713018</v>
      </c>
      <c r="I14">
        <f t="shared" si="1"/>
        <v>4.2559241706161144</v>
      </c>
      <c r="J14">
        <f t="shared" si="2"/>
        <v>1.6659241706161145</v>
      </c>
      <c r="K14">
        <f t="shared" si="3"/>
        <v>45.039925876777275</v>
      </c>
      <c r="L14">
        <f t="shared" si="7"/>
        <v>4503.9925876777279</v>
      </c>
      <c r="M14">
        <f t="shared" si="4"/>
        <v>121.39164000000001</v>
      </c>
      <c r="N14">
        <f t="shared" si="8"/>
        <v>3.9715639810426548</v>
      </c>
      <c r="O14">
        <f t="shared" si="9"/>
        <v>1.0715639810426549</v>
      </c>
      <c r="P14">
        <f t="shared" si="10"/>
        <v>28.970803791469219</v>
      </c>
      <c r="Q14">
        <f t="shared" si="11"/>
        <v>2897.080379146922</v>
      </c>
      <c r="R14">
        <f t="shared" si="12"/>
        <v>113.28084000000001</v>
      </c>
    </row>
    <row r="15" spans="1:18" x14ac:dyDescent="0.25">
      <c r="A15" s="5" t="s">
        <v>17</v>
      </c>
      <c r="B15">
        <v>2.95</v>
      </c>
      <c r="C15">
        <v>2.6</v>
      </c>
      <c r="D15">
        <v>4.49</v>
      </c>
      <c r="E15">
        <v>4.99</v>
      </c>
      <c r="F15">
        <v>5</v>
      </c>
      <c r="G15" s="1">
        <f t="shared" si="5"/>
        <v>29.085170837775369</v>
      </c>
      <c r="H15" s="1">
        <f t="shared" si="6"/>
        <v>42.682521440986235</v>
      </c>
      <c r="I15">
        <f t="shared" si="1"/>
        <v>4.7298578199052139</v>
      </c>
      <c r="J15">
        <f t="shared" si="2"/>
        <v>2.1298578199052138</v>
      </c>
      <c r="K15">
        <f t="shared" si="3"/>
        <v>10.649289099526069</v>
      </c>
      <c r="L15">
        <f t="shared" si="7"/>
        <v>1064.9289099526068</v>
      </c>
      <c r="M15">
        <f t="shared" si="4"/>
        <v>24.950000000000003</v>
      </c>
      <c r="N15">
        <f t="shared" si="8"/>
        <v>4.2559241706161144</v>
      </c>
      <c r="O15">
        <f t="shared" si="9"/>
        <v>1.3059241706161142</v>
      </c>
      <c r="P15">
        <f t="shared" si="10"/>
        <v>6.5296208530805711</v>
      </c>
      <c r="Q15">
        <f t="shared" si="11"/>
        <v>652.96208530805711</v>
      </c>
      <c r="R15">
        <f t="shared" si="12"/>
        <v>22.450000000000003</v>
      </c>
    </row>
    <row r="16" spans="1:18" x14ac:dyDescent="0.25">
      <c r="A16" s="5" t="s">
        <v>18</v>
      </c>
      <c r="B16">
        <v>0.99</v>
      </c>
      <c r="C16">
        <v>0.95</v>
      </c>
      <c r="D16">
        <v>1.59</v>
      </c>
      <c r="E16">
        <v>1.49</v>
      </c>
      <c r="F16">
        <v>180</v>
      </c>
      <c r="G16" s="1">
        <f t="shared" si="5"/>
        <v>32.522578914423697</v>
      </c>
      <c r="H16" s="1">
        <f t="shared" si="6"/>
        <v>31.028340596074955</v>
      </c>
      <c r="I16">
        <f t="shared" si="1"/>
        <v>1.4123222748815167</v>
      </c>
      <c r="J16">
        <f t="shared" si="2"/>
        <v>0.46232227488151678</v>
      </c>
      <c r="K16">
        <f t="shared" si="3"/>
        <v>83.218009478673025</v>
      </c>
      <c r="L16">
        <f t="shared" si="7"/>
        <v>8321.800947867303</v>
      </c>
      <c r="M16">
        <f t="shared" si="4"/>
        <v>268.2</v>
      </c>
      <c r="N16">
        <f t="shared" si="8"/>
        <v>1.5071090047393367</v>
      </c>
      <c r="O16">
        <f t="shared" si="9"/>
        <v>0.51710900473933674</v>
      </c>
      <c r="P16">
        <f t="shared" si="10"/>
        <v>93.079620853080613</v>
      </c>
      <c r="Q16">
        <f t="shared" si="11"/>
        <v>9307.9620853080614</v>
      </c>
      <c r="R16">
        <f t="shared" si="12"/>
        <v>286.2</v>
      </c>
    </row>
    <row r="17" spans="1:18" x14ac:dyDescent="0.25">
      <c r="A17" s="5" t="s">
        <v>19</v>
      </c>
      <c r="B17">
        <v>2.9</v>
      </c>
      <c r="C17">
        <v>2.59</v>
      </c>
      <c r="D17">
        <v>4.1900000000000004</v>
      </c>
      <c r="E17">
        <v>4.49</v>
      </c>
      <c r="F17">
        <v>41.13</v>
      </c>
      <c r="G17" s="1">
        <f t="shared" si="5"/>
        <v>25.574319356626606</v>
      </c>
      <c r="H17" s="1">
        <f t="shared" si="6"/>
        <v>37.102988209713018</v>
      </c>
      <c r="I17">
        <f t="shared" si="1"/>
        <v>4.2559241706161144</v>
      </c>
      <c r="J17">
        <f t="shared" si="2"/>
        <v>1.6659241706161145</v>
      </c>
      <c r="K17">
        <f t="shared" si="3"/>
        <v>68.5194611374408</v>
      </c>
      <c r="L17">
        <f t="shared" si="7"/>
        <v>6851.9461137440803</v>
      </c>
      <c r="M17">
        <f t="shared" si="4"/>
        <v>184.67370000000003</v>
      </c>
      <c r="N17">
        <f t="shared" si="8"/>
        <v>3.9715639810426548</v>
      </c>
      <c r="O17">
        <f t="shared" si="9"/>
        <v>1.0715639810426549</v>
      </c>
      <c r="P17">
        <f t="shared" si="10"/>
        <v>44.073426540284402</v>
      </c>
      <c r="Q17">
        <f t="shared" si="11"/>
        <v>4407.3426540284399</v>
      </c>
      <c r="R17">
        <f t="shared" si="12"/>
        <v>172.33470000000003</v>
      </c>
    </row>
    <row r="18" spans="1:18" x14ac:dyDescent="0.25">
      <c r="A18" s="5" t="s">
        <v>20</v>
      </c>
      <c r="B18">
        <v>0.9</v>
      </c>
      <c r="C18">
        <v>0.65</v>
      </c>
      <c r="D18">
        <v>1.39</v>
      </c>
      <c r="E18">
        <v>1.29</v>
      </c>
      <c r="F18">
        <v>176</v>
      </c>
      <c r="G18" s="1">
        <f t="shared" si="5"/>
        <v>30.038528418970987</v>
      </c>
      <c r="H18" s="1">
        <f t="shared" si="6"/>
        <v>44.399132958595104</v>
      </c>
      <c r="I18">
        <f t="shared" si="1"/>
        <v>1.222748815165877</v>
      </c>
      <c r="J18">
        <f t="shared" si="2"/>
        <v>0.57274881516587695</v>
      </c>
      <c r="K18">
        <f t="shared" si="3"/>
        <v>100.80379146919434</v>
      </c>
      <c r="L18">
        <f t="shared" si="7"/>
        <v>10080.379146919433</v>
      </c>
      <c r="M18">
        <f t="shared" si="4"/>
        <v>227.04000000000002</v>
      </c>
      <c r="N18">
        <f t="shared" si="8"/>
        <v>1.3175355450236967</v>
      </c>
      <c r="O18">
        <f t="shared" si="9"/>
        <v>0.41753554502369672</v>
      </c>
      <c r="P18">
        <f t="shared" si="10"/>
        <v>73.486255924170621</v>
      </c>
      <c r="Q18">
        <f t="shared" si="11"/>
        <v>7348.6255924170619</v>
      </c>
      <c r="R18">
        <f t="shared" si="12"/>
        <v>244.64</v>
      </c>
    </row>
    <row r="19" spans="1:18" x14ac:dyDescent="0.25">
      <c r="A19" s="5" t="s">
        <v>41</v>
      </c>
      <c r="B19">
        <v>0.4</v>
      </c>
      <c r="C19">
        <v>0.38</v>
      </c>
      <c r="D19">
        <v>0.69</v>
      </c>
      <c r="E19">
        <v>0.69</v>
      </c>
      <c r="F19">
        <v>208</v>
      </c>
      <c r="G19" s="1">
        <f t="shared" si="5"/>
        <v>36.815715365066275</v>
      </c>
      <c r="H19" s="1">
        <f t="shared" si="6"/>
        <v>39.714266089703969</v>
      </c>
      <c r="I19">
        <f t="shared" si="1"/>
        <v>0.65402843601895733</v>
      </c>
      <c r="J19">
        <f t="shared" si="2"/>
        <v>0.27402843601895732</v>
      </c>
      <c r="K19">
        <f t="shared" si="3"/>
        <v>56.997914691943123</v>
      </c>
      <c r="L19">
        <f t="shared" si="7"/>
        <v>5699.7914691943124</v>
      </c>
      <c r="M19">
        <f t="shared" si="4"/>
        <v>143.51999999999998</v>
      </c>
      <c r="N19">
        <f t="shared" si="8"/>
        <v>0.65402843601895733</v>
      </c>
      <c r="O19">
        <f t="shared" si="9"/>
        <v>0.2540284360189573</v>
      </c>
      <c r="P19">
        <f t="shared" si="10"/>
        <v>52.837914691943119</v>
      </c>
      <c r="Q19">
        <f t="shared" si="11"/>
        <v>5283.7914691943115</v>
      </c>
      <c r="R19">
        <f t="shared" si="12"/>
        <v>143.51999999999998</v>
      </c>
    </row>
    <row r="20" spans="1:18" x14ac:dyDescent="0.25">
      <c r="A20" s="5" t="s">
        <v>23</v>
      </c>
      <c r="B20">
        <v>2.5499999999999998</v>
      </c>
      <c r="C20">
        <v>2.4</v>
      </c>
      <c r="D20">
        <v>3.69</v>
      </c>
      <c r="E20">
        <v>3.99</v>
      </c>
      <c r="F20">
        <v>70</v>
      </c>
      <c r="G20" s="1">
        <f t="shared" si="5"/>
        <v>25.681038800909352</v>
      </c>
      <c r="H20" s="1">
        <f t="shared" si="6"/>
        <v>34.636353917970297</v>
      </c>
      <c r="I20">
        <f t="shared" si="1"/>
        <v>3.7819905213270149</v>
      </c>
      <c r="J20">
        <f t="shared" si="2"/>
        <v>1.3819905213270149</v>
      </c>
      <c r="K20">
        <f t="shared" si="3"/>
        <v>96.739336492891042</v>
      </c>
      <c r="L20">
        <f t="shared" si="7"/>
        <v>9673.9336492891034</v>
      </c>
      <c r="M20">
        <f t="shared" si="4"/>
        <v>279.3</v>
      </c>
      <c r="N20">
        <f t="shared" si="8"/>
        <v>3.4976303317535549</v>
      </c>
      <c r="O20">
        <f t="shared" si="9"/>
        <v>0.94763033175355504</v>
      </c>
      <c r="P20">
        <f t="shared" si="10"/>
        <v>66.334123222748858</v>
      </c>
      <c r="Q20">
        <f t="shared" si="11"/>
        <v>6633.4123222748858</v>
      </c>
      <c r="R20">
        <f t="shared" si="12"/>
        <v>258.3</v>
      </c>
    </row>
    <row r="21" spans="1:18" x14ac:dyDescent="0.25">
      <c r="A21" s="5"/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007" priority="188" operator="lessThan">
      <formula>$C$4</formula>
    </cfRule>
  </conditionalFormatting>
  <conditionalFormatting sqref="C4">
    <cfRule type="cellIs" dxfId="3006" priority="187" operator="lessThan">
      <formula>$B$4</formula>
    </cfRule>
  </conditionalFormatting>
  <conditionalFormatting sqref="B5">
    <cfRule type="cellIs" dxfId="3005" priority="186" operator="lessThan">
      <formula>$C$5</formula>
    </cfRule>
  </conditionalFormatting>
  <conditionalFormatting sqref="C5">
    <cfRule type="cellIs" dxfId="3004" priority="185" operator="lessThan">
      <formula>$B$5</formula>
    </cfRule>
  </conditionalFormatting>
  <conditionalFormatting sqref="B6">
    <cfRule type="cellIs" dxfId="3003" priority="184" operator="lessThan">
      <formula>$C$6</formula>
    </cfRule>
  </conditionalFormatting>
  <conditionalFormatting sqref="C6">
    <cfRule type="cellIs" dxfId="3002" priority="183" operator="lessThan">
      <formula>$B$6</formula>
    </cfRule>
  </conditionalFormatting>
  <conditionalFormatting sqref="B7">
    <cfRule type="cellIs" dxfId="3001" priority="182" operator="lessThan">
      <formula>$C$7</formula>
    </cfRule>
  </conditionalFormatting>
  <conditionalFormatting sqref="C7">
    <cfRule type="cellIs" dxfId="3000" priority="181" operator="lessThan">
      <formula>$B$7</formula>
    </cfRule>
  </conditionalFormatting>
  <conditionalFormatting sqref="B8">
    <cfRule type="cellIs" dxfId="2999" priority="180" operator="lessThan">
      <formula>$C$8</formula>
    </cfRule>
  </conditionalFormatting>
  <conditionalFormatting sqref="C8">
    <cfRule type="cellIs" dxfId="2998" priority="179" operator="lessThan">
      <formula>$B$8</formula>
    </cfRule>
  </conditionalFormatting>
  <conditionalFormatting sqref="B9">
    <cfRule type="cellIs" dxfId="2997" priority="178" operator="lessThan">
      <formula>$C$9</formula>
    </cfRule>
  </conditionalFormatting>
  <conditionalFormatting sqref="C9">
    <cfRule type="cellIs" dxfId="2996" priority="177" operator="lessThan">
      <formula>$B$9</formula>
    </cfRule>
  </conditionalFormatting>
  <conditionalFormatting sqref="B10">
    <cfRule type="cellIs" dxfId="2995" priority="176" operator="lessThan">
      <formula>$C$10</formula>
    </cfRule>
  </conditionalFormatting>
  <conditionalFormatting sqref="C10">
    <cfRule type="cellIs" dxfId="2994" priority="175" operator="lessThan">
      <formula>$B$10</formula>
    </cfRule>
  </conditionalFormatting>
  <conditionalFormatting sqref="B11">
    <cfRule type="cellIs" dxfId="2993" priority="174" operator="lessThan">
      <formula>$C$11</formula>
    </cfRule>
  </conditionalFormatting>
  <conditionalFormatting sqref="C11">
    <cfRule type="cellIs" dxfId="2992" priority="173" operator="lessThan">
      <formula>$B$11</formula>
    </cfRule>
  </conditionalFormatting>
  <conditionalFormatting sqref="B12">
    <cfRule type="cellIs" dxfId="2991" priority="172" operator="lessThan">
      <formula>$C$12</formula>
    </cfRule>
  </conditionalFormatting>
  <conditionalFormatting sqref="C12">
    <cfRule type="cellIs" dxfId="2990" priority="171" operator="lessThan">
      <formula>$B$12</formula>
    </cfRule>
  </conditionalFormatting>
  <conditionalFormatting sqref="B13">
    <cfRule type="cellIs" dxfId="2989" priority="170" operator="lessThan">
      <formula>$C$13</formula>
    </cfRule>
  </conditionalFormatting>
  <conditionalFormatting sqref="C13">
    <cfRule type="cellIs" dxfId="2988" priority="169" operator="lessThan">
      <formula>$B$13</formula>
    </cfRule>
  </conditionalFormatting>
  <conditionalFormatting sqref="B14">
    <cfRule type="cellIs" dxfId="2987" priority="168" operator="lessThan">
      <formula>$C$14</formula>
    </cfRule>
  </conditionalFormatting>
  <conditionalFormatting sqref="C14">
    <cfRule type="cellIs" dxfId="2986" priority="167" operator="lessThan">
      <formula>$B$14</formula>
    </cfRule>
  </conditionalFormatting>
  <conditionalFormatting sqref="B15">
    <cfRule type="cellIs" dxfId="2985" priority="166" operator="lessThan">
      <formula>$C$15</formula>
    </cfRule>
  </conditionalFormatting>
  <conditionalFormatting sqref="C15">
    <cfRule type="cellIs" dxfId="2984" priority="165" operator="lessThan">
      <formula>$B$15</formula>
    </cfRule>
  </conditionalFormatting>
  <conditionalFormatting sqref="B16">
    <cfRule type="cellIs" dxfId="2983" priority="164" operator="lessThan">
      <formula>$C$16</formula>
    </cfRule>
  </conditionalFormatting>
  <conditionalFormatting sqref="C16">
    <cfRule type="cellIs" dxfId="2982" priority="163" operator="lessThan">
      <formula>$B$16</formula>
    </cfRule>
  </conditionalFormatting>
  <conditionalFormatting sqref="B17">
    <cfRule type="cellIs" dxfId="2981" priority="162" operator="lessThan">
      <formula>$C$17</formula>
    </cfRule>
  </conditionalFormatting>
  <conditionalFormatting sqref="C17">
    <cfRule type="cellIs" dxfId="2980" priority="161" operator="lessThan">
      <formula>$B$17</formula>
    </cfRule>
  </conditionalFormatting>
  <conditionalFormatting sqref="B18">
    <cfRule type="cellIs" dxfId="2979" priority="160" operator="lessThan">
      <formula>$C$18</formula>
    </cfRule>
  </conditionalFormatting>
  <conditionalFormatting sqref="C18">
    <cfRule type="cellIs" dxfId="2978" priority="159" operator="lessThan">
      <formula>$B$18</formula>
    </cfRule>
  </conditionalFormatting>
  <conditionalFormatting sqref="C19">
    <cfRule type="cellIs" dxfId="2977" priority="158" operator="lessThan">
      <formula>$B$19</formula>
    </cfRule>
  </conditionalFormatting>
  <conditionalFormatting sqref="B19">
    <cfRule type="cellIs" dxfId="2976" priority="157" operator="lessThan">
      <formula>$C$19</formula>
    </cfRule>
  </conditionalFormatting>
  <conditionalFormatting sqref="B20">
    <cfRule type="cellIs" dxfId="2975" priority="156" operator="lessThan">
      <formula>$C$20</formula>
    </cfRule>
  </conditionalFormatting>
  <conditionalFormatting sqref="C20">
    <cfRule type="cellIs" dxfId="2974" priority="155" operator="lessThan">
      <formula>$B$20</formula>
    </cfRule>
  </conditionalFormatting>
  <conditionalFormatting sqref="B21">
    <cfRule type="cellIs" dxfId="2973" priority="154" operator="lessThan">
      <formula>$C$21</formula>
    </cfRule>
  </conditionalFormatting>
  <conditionalFormatting sqref="C21">
    <cfRule type="cellIs" dxfId="2972" priority="153" operator="lessThan">
      <formula>$B$21</formula>
    </cfRule>
  </conditionalFormatting>
  <conditionalFormatting sqref="B22">
    <cfRule type="cellIs" dxfId="2971" priority="152" operator="lessThan">
      <formula>$C$22</formula>
    </cfRule>
  </conditionalFormatting>
  <conditionalFormatting sqref="C22">
    <cfRule type="cellIs" dxfId="2970" priority="151" operator="lessThan">
      <formula>$B$22</formula>
    </cfRule>
  </conditionalFormatting>
  <conditionalFormatting sqref="B23">
    <cfRule type="cellIs" dxfId="2969" priority="150" operator="lessThan">
      <formula>$C$23</formula>
    </cfRule>
  </conditionalFormatting>
  <conditionalFormatting sqref="C23">
    <cfRule type="cellIs" dxfId="2968" priority="149" operator="lessThan">
      <formula>$B$23</formula>
    </cfRule>
  </conditionalFormatting>
  <conditionalFormatting sqref="B24">
    <cfRule type="cellIs" dxfId="2967" priority="148" operator="lessThan">
      <formula>$C$24</formula>
    </cfRule>
  </conditionalFormatting>
  <conditionalFormatting sqref="C24">
    <cfRule type="cellIs" dxfId="2966" priority="147" operator="lessThan">
      <formula>$B$24</formula>
    </cfRule>
  </conditionalFormatting>
  <conditionalFormatting sqref="B25">
    <cfRule type="cellIs" dxfId="2965" priority="146" operator="lessThan">
      <formula>$C$25</formula>
    </cfRule>
  </conditionalFormatting>
  <conditionalFormatting sqref="C25">
    <cfRule type="cellIs" dxfId="2964" priority="145" operator="lessThan">
      <formula>$B$25</formula>
    </cfRule>
  </conditionalFormatting>
  <conditionalFormatting sqref="B26">
    <cfRule type="cellIs" dxfId="2963" priority="144" operator="lessThan">
      <formula>$C$26</formula>
    </cfRule>
  </conditionalFormatting>
  <conditionalFormatting sqref="C26">
    <cfRule type="cellIs" dxfId="2962" priority="143" operator="lessThan">
      <formula>$B$26</formula>
    </cfRule>
  </conditionalFormatting>
  <conditionalFormatting sqref="B27">
    <cfRule type="cellIs" dxfId="2961" priority="142" operator="lessThan">
      <formula>$C$27</formula>
    </cfRule>
  </conditionalFormatting>
  <conditionalFormatting sqref="C27">
    <cfRule type="cellIs" dxfId="2960" priority="141" operator="lessThan">
      <formula>$B$27</formula>
    </cfRule>
  </conditionalFormatting>
  <conditionalFormatting sqref="B28">
    <cfRule type="cellIs" dxfId="2959" priority="140" operator="lessThan">
      <formula>$C$28</formula>
    </cfRule>
  </conditionalFormatting>
  <conditionalFormatting sqref="C28">
    <cfRule type="cellIs" dxfId="2958" priority="139" operator="lessThan">
      <formula>$B$28</formula>
    </cfRule>
  </conditionalFormatting>
  <conditionalFormatting sqref="B29">
    <cfRule type="cellIs" dxfId="2957" priority="138" operator="lessThan">
      <formula>$C$29</formula>
    </cfRule>
  </conditionalFormatting>
  <conditionalFormatting sqref="C29">
    <cfRule type="cellIs" dxfId="2956" priority="137" operator="lessThan">
      <formula>$B$29</formula>
    </cfRule>
  </conditionalFormatting>
  <conditionalFormatting sqref="B30">
    <cfRule type="cellIs" dxfId="2955" priority="136" operator="lessThan">
      <formula>$C$30</formula>
    </cfRule>
  </conditionalFormatting>
  <conditionalFormatting sqref="C30">
    <cfRule type="cellIs" dxfId="2954" priority="135" operator="lessThan">
      <formula>$B$30</formula>
    </cfRule>
  </conditionalFormatting>
  <conditionalFormatting sqref="B31">
    <cfRule type="cellIs" dxfId="2953" priority="134" operator="lessThan">
      <formula>$C$31</formula>
    </cfRule>
  </conditionalFormatting>
  <conditionalFormatting sqref="C31">
    <cfRule type="cellIs" dxfId="2952" priority="133" operator="lessThan">
      <formula>$B$31</formula>
    </cfRule>
  </conditionalFormatting>
  <conditionalFormatting sqref="B32">
    <cfRule type="cellIs" dxfId="2951" priority="132" operator="lessThan">
      <formula>$C$32</formula>
    </cfRule>
  </conditionalFormatting>
  <conditionalFormatting sqref="C32">
    <cfRule type="cellIs" dxfId="2950" priority="131" operator="lessThan">
      <formula>$B$32</formula>
    </cfRule>
  </conditionalFormatting>
  <conditionalFormatting sqref="B33">
    <cfRule type="cellIs" dxfId="2949" priority="130" operator="lessThan">
      <formula>$C$33</formula>
    </cfRule>
  </conditionalFormatting>
  <conditionalFormatting sqref="C33">
    <cfRule type="cellIs" dxfId="2948" priority="129" operator="lessThan">
      <formula>$B$33</formula>
    </cfRule>
  </conditionalFormatting>
  <conditionalFormatting sqref="B34">
    <cfRule type="cellIs" dxfId="2947" priority="128" operator="lessThan">
      <formula>$C$34</formula>
    </cfRule>
  </conditionalFormatting>
  <conditionalFormatting sqref="C34">
    <cfRule type="cellIs" dxfId="2946" priority="127" operator="lessThan">
      <formula>$B$34</formula>
    </cfRule>
  </conditionalFormatting>
  <conditionalFormatting sqref="B35">
    <cfRule type="cellIs" dxfId="2945" priority="126" operator="lessThan">
      <formula>$C$35</formula>
    </cfRule>
  </conditionalFormatting>
  <conditionalFormatting sqref="C35">
    <cfRule type="cellIs" dxfId="2944" priority="125" operator="lessThan">
      <formula>$B$35</formula>
    </cfRule>
  </conditionalFormatting>
  <conditionalFormatting sqref="B36">
    <cfRule type="cellIs" dxfId="2943" priority="124" operator="lessThan">
      <formula>$C$36</formula>
    </cfRule>
  </conditionalFormatting>
  <conditionalFormatting sqref="C36">
    <cfRule type="cellIs" dxfId="2942" priority="123" operator="lessThan">
      <formula>$B$36</formula>
    </cfRule>
  </conditionalFormatting>
  <conditionalFormatting sqref="B37">
    <cfRule type="cellIs" dxfId="2941" priority="122" operator="lessThan">
      <formula>$C$37</formula>
    </cfRule>
  </conditionalFormatting>
  <conditionalFormatting sqref="C37">
    <cfRule type="cellIs" dxfId="2940" priority="121" operator="lessThan">
      <formula>$B$37</formula>
    </cfRule>
  </conditionalFormatting>
  <conditionalFormatting sqref="B38">
    <cfRule type="cellIs" dxfId="2939" priority="120" operator="lessThan">
      <formula>$C$38</formula>
    </cfRule>
  </conditionalFormatting>
  <conditionalFormatting sqref="C38">
    <cfRule type="cellIs" dxfId="2938" priority="119" operator="lessThan">
      <formula>$B$38</formula>
    </cfRule>
  </conditionalFormatting>
  <conditionalFormatting sqref="B39">
    <cfRule type="cellIs" dxfId="2937" priority="118" operator="lessThan">
      <formula>$C$39</formula>
    </cfRule>
  </conditionalFormatting>
  <conditionalFormatting sqref="C39">
    <cfRule type="cellIs" dxfId="2936" priority="117" operator="lessThan">
      <formula>$B$39</formula>
    </cfRule>
  </conditionalFormatting>
  <conditionalFormatting sqref="B40">
    <cfRule type="cellIs" dxfId="2935" priority="116" operator="lessThan">
      <formula>$C$40</formula>
    </cfRule>
  </conditionalFormatting>
  <conditionalFormatting sqref="C40">
    <cfRule type="cellIs" dxfId="2934" priority="115" operator="lessThan">
      <formula>$B$40</formula>
    </cfRule>
  </conditionalFormatting>
  <conditionalFormatting sqref="B41">
    <cfRule type="cellIs" dxfId="2933" priority="114" operator="lessThan">
      <formula>$C$41</formula>
    </cfRule>
  </conditionalFormatting>
  <conditionalFormatting sqref="C41">
    <cfRule type="cellIs" dxfId="2932" priority="113" operator="lessThan">
      <formula>$B$41</formula>
    </cfRule>
  </conditionalFormatting>
  <conditionalFormatting sqref="B42">
    <cfRule type="cellIs" dxfId="2931" priority="112" operator="lessThan">
      <formula>$C$42</formula>
    </cfRule>
  </conditionalFormatting>
  <conditionalFormatting sqref="C42">
    <cfRule type="cellIs" dxfId="2930" priority="111" operator="lessThan">
      <formula>$B$42</formula>
    </cfRule>
  </conditionalFormatting>
  <conditionalFormatting sqref="B43">
    <cfRule type="cellIs" dxfId="2929" priority="110" operator="lessThan">
      <formula>$C$43</formula>
    </cfRule>
  </conditionalFormatting>
  <conditionalFormatting sqref="C43">
    <cfRule type="cellIs" dxfId="2928" priority="109" operator="lessThan">
      <formula>$B$43</formula>
    </cfRule>
  </conditionalFormatting>
  <conditionalFormatting sqref="B44">
    <cfRule type="cellIs" dxfId="2927" priority="108" operator="lessThan">
      <formula>$C$44</formula>
    </cfRule>
  </conditionalFormatting>
  <conditionalFormatting sqref="C44">
    <cfRule type="cellIs" dxfId="2926" priority="107" operator="lessThan">
      <formula>$B$44</formula>
    </cfRule>
  </conditionalFormatting>
  <conditionalFormatting sqref="B45">
    <cfRule type="cellIs" dxfId="2925" priority="106" operator="lessThan">
      <formula>$C$45</formula>
    </cfRule>
  </conditionalFormatting>
  <conditionalFormatting sqref="C45">
    <cfRule type="cellIs" dxfId="2924" priority="105" operator="lessThan">
      <formula>$B$45</formula>
    </cfRule>
  </conditionalFormatting>
  <conditionalFormatting sqref="B46">
    <cfRule type="cellIs" dxfId="2923" priority="104" operator="lessThan">
      <formula>$C$46</formula>
    </cfRule>
  </conditionalFormatting>
  <conditionalFormatting sqref="C46">
    <cfRule type="cellIs" dxfId="2922" priority="103" operator="lessThan">
      <formula>$B$46</formula>
    </cfRule>
  </conditionalFormatting>
  <conditionalFormatting sqref="B47">
    <cfRule type="cellIs" dxfId="2921" priority="102" operator="lessThan">
      <formula>$C$47</formula>
    </cfRule>
  </conditionalFormatting>
  <conditionalFormatting sqref="C47">
    <cfRule type="cellIs" dxfId="2920" priority="101" operator="lessThan">
      <formula>$B$47</formula>
    </cfRule>
  </conditionalFormatting>
  <conditionalFormatting sqref="B48">
    <cfRule type="cellIs" dxfId="2919" priority="100" operator="lessThan">
      <formula>$C$48</formula>
    </cfRule>
  </conditionalFormatting>
  <conditionalFormatting sqref="C48">
    <cfRule type="cellIs" dxfId="2918" priority="99" operator="lessThan">
      <formula>$B$48</formula>
    </cfRule>
  </conditionalFormatting>
  <conditionalFormatting sqref="B49">
    <cfRule type="cellIs" dxfId="2917" priority="98" operator="lessThan">
      <formula>$C$49</formula>
    </cfRule>
  </conditionalFormatting>
  <conditionalFormatting sqref="C49">
    <cfRule type="cellIs" dxfId="2916" priority="97" operator="lessThan">
      <formula>$B$49</formula>
    </cfRule>
  </conditionalFormatting>
  <conditionalFormatting sqref="B50">
    <cfRule type="cellIs" dxfId="2915" priority="96" operator="lessThan">
      <formula>$C$50</formula>
    </cfRule>
  </conditionalFormatting>
  <conditionalFormatting sqref="C50">
    <cfRule type="cellIs" dxfId="2914" priority="95" operator="lessThan">
      <formula>$B$50</formula>
    </cfRule>
  </conditionalFormatting>
  <conditionalFormatting sqref="D4">
    <cfRule type="cellIs" dxfId="2913" priority="94" operator="lessThan">
      <formula>$E$4</formula>
    </cfRule>
  </conditionalFormatting>
  <conditionalFormatting sqref="E4">
    <cfRule type="cellIs" dxfId="2912" priority="93" operator="lessThan">
      <formula>$D$4</formula>
    </cfRule>
  </conditionalFormatting>
  <conditionalFormatting sqref="D5">
    <cfRule type="cellIs" dxfId="2911" priority="92" operator="lessThan">
      <formula>$E$5</formula>
    </cfRule>
  </conditionalFormatting>
  <conditionalFormatting sqref="E5">
    <cfRule type="cellIs" dxfId="2910" priority="91" operator="lessThan">
      <formula>$D$5</formula>
    </cfRule>
  </conditionalFormatting>
  <conditionalFormatting sqref="D6">
    <cfRule type="cellIs" dxfId="2909" priority="90" operator="lessThan">
      <formula>$E$6</formula>
    </cfRule>
  </conditionalFormatting>
  <conditionalFormatting sqref="E6">
    <cfRule type="cellIs" dxfId="2908" priority="89" operator="lessThan">
      <formula>$D$6</formula>
    </cfRule>
  </conditionalFormatting>
  <conditionalFormatting sqref="D7">
    <cfRule type="cellIs" dxfId="2907" priority="88" operator="lessThan">
      <formula>$E$7</formula>
    </cfRule>
  </conditionalFormatting>
  <conditionalFormatting sqref="E7">
    <cfRule type="cellIs" dxfId="2906" priority="87" operator="lessThan">
      <formula>$D$7</formula>
    </cfRule>
  </conditionalFormatting>
  <conditionalFormatting sqref="D8">
    <cfRule type="cellIs" dxfId="2905" priority="86" operator="lessThan">
      <formula>$E$8</formula>
    </cfRule>
  </conditionalFormatting>
  <conditionalFormatting sqref="E8">
    <cfRule type="cellIs" dxfId="2904" priority="85" operator="lessThan">
      <formula>$D$8</formula>
    </cfRule>
  </conditionalFormatting>
  <conditionalFormatting sqref="D9">
    <cfRule type="cellIs" dxfId="2903" priority="84" operator="lessThan">
      <formula>$E$9</formula>
    </cfRule>
  </conditionalFormatting>
  <conditionalFormatting sqref="E9">
    <cfRule type="cellIs" dxfId="2902" priority="83" operator="lessThan">
      <formula>$D$9</formula>
    </cfRule>
  </conditionalFormatting>
  <conditionalFormatting sqref="D10">
    <cfRule type="cellIs" dxfId="2901" priority="82" operator="lessThan">
      <formula>$E$10</formula>
    </cfRule>
  </conditionalFormatting>
  <conditionalFormatting sqref="E10">
    <cfRule type="cellIs" dxfId="2900" priority="81" operator="lessThan">
      <formula>$D$10</formula>
    </cfRule>
  </conditionalFormatting>
  <conditionalFormatting sqref="D11">
    <cfRule type="cellIs" dxfId="2899" priority="80" operator="lessThan">
      <formula>$E$11</formula>
    </cfRule>
  </conditionalFormatting>
  <conditionalFormatting sqref="E11">
    <cfRule type="cellIs" dxfId="2898" priority="79" operator="lessThan">
      <formula>$D$11</formula>
    </cfRule>
  </conditionalFormatting>
  <conditionalFormatting sqref="D12">
    <cfRule type="cellIs" dxfId="2897" priority="78" operator="lessThan">
      <formula>$E$12</formula>
    </cfRule>
  </conditionalFormatting>
  <conditionalFormatting sqref="E12">
    <cfRule type="cellIs" dxfId="2896" priority="77" operator="lessThan">
      <formula>$D$12</formula>
    </cfRule>
  </conditionalFormatting>
  <conditionalFormatting sqref="D13">
    <cfRule type="cellIs" dxfId="2895" priority="76" operator="lessThan">
      <formula>$E$13</formula>
    </cfRule>
  </conditionalFormatting>
  <conditionalFormatting sqref="E13">
    <cfRule type="cellIs" dxfId="2894" priority="75" operator="lessThan">
      <formula>$D$13</formula>
    </cfRule>
  </conditionalFormatting>
  <conditionalFormatting sqref="D14">
    <cfRule type="cellIs" dxfId="2893" priority="74" operator="lessThan">
      <formula>$E$14</formula>
    </cfRule>
  </conditionalFormatting>
  <conditionalFormatting sqref="E14">
    <cfRule type="cellIs" dxfId="2892" priority="73" operator="lessThan">
      <formula>$D$14</formula>
    </cfRule>
  </conditionalFormatting>
  <conditionalFormatting sqref="D15">
    <cfRule type="cellIs" dxfId="2891" priority="72" operator="lessThan">
      <formula>$E$15</formula>
    </cfRule>
  </conditionalFormatting>
  <conditionalFormatting sqref="E15">
    <cfRule type="cellIs" dxfId="2890" priority="71" operator="lessThan">
      <formula>$D$15</formula>
    </cfRule>
  </conditionalFormatting>
  <conditionalFormatting sqref="D16">
    <cfRule type="cellIs" dxfId="2889" priority="70" operator="lessThan">
      <formula>$E$16</formula>
    </cfRule>
  </conditionalFormatting>
  <conditionalFormatting sqref="E16">
    <cfRule type="cellIs" dxfId="2888" priority="69" operator="lessThan">
      <formula>$D$16</formula>
    </cfRule>
  </conditionalFormatting>
  <conditionalFormatting sqref="D17">
    <cfRule type="cellIs" dxfId="2887" priority="68" operator="lessThan">
      <formula>$E$17</formula>
    </cfRule>
  </conditionalFormatting>
  <conditionalFormatting sqref="E17">
    <cfRule type="cellIs" dxfId="2886" priority="67" operator="lessThan">
      <formula>$D$17</formula>
    </cfRule>
  </conditionalFormatting>
  <conditionalFormatting sqref="D18">
    <cfRule type="cellIs" dxfId="2885" priority="66" operator="lessThan">
      <formula>$E$18</formula>
    </cfRule>
  </conditionalFormatting>
  <conditionalFormatting sqref="E18">
    <cfRule type="cellIs" dxfId="2884" priority="65" operator="lessThan">
      <formula>$D$18</formula>
    </cfRule>
  </conditionalFormatting>
  <conditionalFormatting sqref="D19">
    <cfRule type="cellIs" dxfId="2883" priority="64" operator="lessThan">
      <formula>$E$19</formula>
    </cfRule>
  </conditionalFormatting>
  <conditionalFormatting sqref="E19">
    <cfRule type="cellIs" dxfId="2882" priority="63" operator="lessThan">
      <formula>$D$19</formula>
    </cfRule>
  </conditionalFormatting>
  <conditionalFormatting sqref="D20">
    <cfRule type="cellIs" dxfId="2881" priority="62" operator="lessThan">
      <formula>$E$20</formula>
    </cfRule>
  </conditionalFormatting>
  <conditionalFormatting sqref="E20">
    <cfRule type="cellIs" dxfId="2880" priority="61" operator="lessThan">
      <formula>$D$20</formula>
    </cfRule>
  </conditionalFormatting>
  <conditionalFormatting sqref="D21">
    <cfRule type="cellIs" dxfId="2879" priority="60" operator="lessThan">
      <formula>$E$21</formula>
    </cfRule>
  </conditionalFormatting>
  <conditionalFormatting sqref="E21">
    <cfRule type="cellIs" dxfId="2878" priority="59" operator="lessThan">
      <formula>$D$21</formula>
    </cfRule>
  </conditionalFormatting>
  <conditionalFormatting sqref="D22">
    <cfRule type="cellIs" dxfId="2877" priority="58" operator="lessThan">
      <formula>$E$22</formula>
    </cfRule>
  </conditionalFormatting>
  <conditionalFormatting sqref="E22">
    <cfRule type="cellIs" dxfId="2876" priority="57" operator="lessThan">
      <formula>$D$22</formula>
    </cfRule>
  </conditionalFormatting>
  <conditionalFormatting sqref="D23">
    <cfRule type="cellIs" dxfId="2875" priority="56" operator="lessThan">
      <formula>$E$23</formula>
    </cfRule>
  </conditionalFormatting>
  <conditionalFormatting sqref="E23">
    <cfRule type="cellIs" dxfId="2874" priority="55" operator="lessThan">
      <formula>$D$23</formula>
    </cfRule>
  </conditionalFormatting>
  <conditionalFormatting sqref="D24">
    <cfRule type="cellIs" dxfId="2873" priority="54" operator="lessThan">
      <formula>$E$24</formula>
    </cfRule>
  </conditionalFormatting>
  <conditionalFormatting sqref="E24">
    <cfRule type="cellIs" dxfId="2872" priority="53" operator="lessThan">
      <formula>$D$24</formula>
    </cfRule>
  </conditionalFormatting>
  <conditionalFormatting sqref="D25">
    <cfRule type="cellIs" dxfId="2871" priority="52" operator="lessThan">
      <formula>$E$25</formula>
    </cfRule>
  </conditionalFormatting>
  <conditionalFormatting sqref="E25">
    <cfRule type="cellIs" dxfId="2870" priority="51" operator="lessThan">
      <formula>$D$25</formula>
    </cfRule>
  </conditionalFormatting>
  <conditionalFormatting sqref="D26">
    <cfRule type="cellIs" dxfId="2869" priority="50" operator="lessThan">
      <formula>$E$26</formula>
    </cfRule>
  </conditionalFormatting>
  <conditionalFormatting sqref="E26">
    <cfRule type="cellIs" dxfId="2868" priority="49" operator="lessThan">
      <formula>$D$26</formula>
    </cfRule>
  </conditionalFormatting>
  <conditionalFormatting sqref="D27">
    <cfRule type="cellIs" dxfId="2867" priority="48" operator="lessThan">
      <formula>$E$27</formula>
    </cfRule>
  </conditionalFormatting>
  <conditionalFormatting sqref="E27">
    <cfRule type="cellIs" dxfId="2866" priority="47" operator="lessThan">
      <formula>$D$27</formula>
    </cfRule>
  </conditionalFormatting>
  <conditionalFormatting sqref="D28">
    <cfRule type="cellIs" dxfId="2865" priority="46" operator="lessThan">
      <formula>$E$28</formula>
    </cfRule>
  </conditionalFormatting>
  <conditionalFormatting sqref="E28">
    <cfRule type="cellIs" dxfId="2864" priority="45" operator="lessThan">
      <formula>$D$28</formula>
    </cfRule>
  </conditionalFormatting>
  <conditionalFormatting sqref="D29">
    <cfRule type="cellIs" dxfId="2863" priority="44" operator="lessThan">
      <formula>$E$29</formula>
    </cfRule>
  </conditionalFormatting>
  <conditionalFormatting sqref="E29">
    <cfRule type="cellIs" dxfId="2862" priority="43" operator="lessThan">
      <formula>$D$29</formula>
    </cfRule>
  </conditionalFormatting>
  <conditionalFormatting sqref="D30">
    <cfRule type="cellIs" dxfId="2861" priority="42" operator="lessThan">
      <formula>$E$30</formula>
    </cfRule>
  </conditionalFormatting>
  <conditionalFormatting sqref="E30">
    <cfRule type="cellIs" dxfId="2860" priority="41" operator="lessThan">
      <formula>$D$30</formula>
    </cfRule>
  </conditionalFormatting>
  <conditionalFormatting sqref="D31">
    <cfRule type="cellIs" dxfId="2859" priority="40" operator="lessThan">
      <formula>$E$31</formula>
    </cfRule>
  </conditionalFormatting>
  <conditionalFormatting sqref="E31">
    <cfRule type="cellIs" dxfId="2858" priority="39" operator="lessThan">
      <formula>$D$31</formula>
    </cfRule>
  </conditionalFormatting>
  <conditionalFormatting sqref="D32">
    <cfRule type="cellIs" dxfId="2857" priority="38" operator="lessThan">
      <formula>$E$32</formula>
    </cfRule>
  </conditionalFormatting>
  <conditionalFormatting sqref="E32">
    <cfRule type="cellIs" dxfId="2856" priority="37" operator="lessThan">
      <formula>$D$32</formula>
    </cfRule>
  </conditionalFormatting>
  <conditionalFormatting sqref="D33">
    <cfRule type="cellIs" dxfId="2855" priority="36" operator="lessThan">
      <formula>$E$33</formula>
    </cfRule>
  </conditionalFormatting>
  <conditionalFormatting sqref="E33">
    <cfRule type="cellIs" dxfId="2854" priority="35" operator="lessThan">
      <formula>$D$33</formula>
    </cfRule>
  </conditionalFormatting>
  <conditionalFormatting sqref="D34">
    <cfRule type="cellIs" dxfId="2853" priority="34" operator="lessThan">
      <formula>$E$34</formula>
    </cfRule>
  </conditionalFormatting>
  <conditionalFormatting sqref="E34">
    <cfRule type="cellIs" dxfId="2852" priority="33" operator="lessThan">
      <formula>$D$34</formula>
    </cfRule>
  </conditionalFormatting>
  <conditionalFormatting sqref="D35">
    <cfRule type="cellIs" dxfId="2851" priority="32" operator="lessThan">
      <formula>$E$35</formula>
    </cfRule>
  </conditionalFormatting>
  <conditionalFormatting sqref="E35">
    <cfRule type="cellIs" dxfId="2850" priority="31" operator="lessThan">
      <formula>$D$35</formula>
    </cfRule>
  </conditionalFormatting>
  <conditionalFormatting sqref="D36">
    <cfRule type="cellIs" dxfId="2849" priority="30" operator="lessThan">
      <formula>$E$36</formula>
    </cfRule>
  </conditionalFormatting>
  <conditionalFormatting sqref="E36">
    <cfRule type="cellIs" dxfId="2848" priority="29" operator="lessThan">
      <formula>$D$36</formula>
    </cfRule>
  </conditionalFormatting>
  <conditionalFormatting sqref="D37">
    <cfRule type="cellIs" dxfId="2847" priority="28" operator="lessThan">
      <formula>$E$37</formula>
    </cfRule>
  </conditionalFormatting>
  <conditionalFormatting sqref="E37">
    <cfRule type="cellIs" dxfId="2846" priority="27" operator="lessThan">
      <formula>$D$37</formula>
    </cfRule>
  </conditionalFormatting>
  <conditionalFormatting sqref="D38">
    <cfRule type="cellIs" dxfId="2845" priority="26" operator="lessThan">
      <formula>$E$38</formula>
    </cfRule>
  </conditionalFormatting>
  <conditionalFormatting sqref="E38">
    <cfRule type="cellIs" dxfId="2844" priority="25" operator="lessThan">
      <formula>$D$38</formula>
    </cfRule>
  </conditionalFormatting>
  <conditionalFormatting sqref="D39">
    <cfRule type="cellIs" dxfId="2843" priority="24" operator="lessThan">
      <formula>$E$39</formula>
    </cfRule>
  </conditionalFormatting>
  <conditionalFormatting sqref="E39">
    <cfRule type="cellIs" dxfId="2842" priority="23" operator="lessThan">
      <formula>$D$39</formula>
    </cfRule>
  </conditionalFormatting>
  <conditionalFormatting sqref="D40">
    <cfRule type="cellIs" dxfId="2841" priority="22" operator="lessThan">
      <formula>$E$40</formula>
    </cfRule>
  </conditionalFormatting>
  <conditionalFormatting sqref="E40">
    <cfRule type="cellIs" dxfId="2840" priority="21" operator="lessThan">
      <formula>$D$40</formula>
    </cfRule>
  </conditionalFormatting>
  <conditionalFormatting sqref="D41">
    <cfRule type="cellIs" dxfId="2839" priority="20" operator="lessThan">
      <formula>$E$41</formula>
    </cfRule>
  </conditionalFormatting>
  <conditionalFormatting sqref="E41">
    <cfRule type="cellIs" dxfId="2838" priority="19" operator="lessThan">
      <formula>$D$41</formula>
    </cfRule>
  </conditionalFormatting>
  <conditionalFormatting sqref="D42">
    <cfRule type="cellIs" dxfId="2837" priority="18" operator="lessThan">
      <formula>$E$42</formula>
    </cfRule>
  </conditionalFormatting>
  <conditionalFormatting sqref="E42">
    <cfRule type="cellIs" dxfId="2836" priority="17" operator="lessThan">
      <formula>$D$42</formula>
    </cfRule>
  </conditionalFormatting>
  <conditionalFormatting sqref="D43">
    <cfRule type="cellIs" dxfId="2835" priority="16" operator="lessThan">
      <formula>$E$43</formula>
    </cfRule>
  </conditionalFormatting>
  <conditionalFormatting sqref="E43">
    <cfRule type="cellIs" dxfId="2834" priority="15" operator="lessThan">
      <formula>$D$43</formula>
    </cfRule>
  </conditionalFormatting>
  <conditionalFormatting sqref="D44">
    <cfRule type="cellIs" dxfId="2833" priority="14" operator="lessThan">
      <formula>$E$44</formula>
    </cfRule>
  </conditionalFormatting>
  <conditionalFormatting sqref="E44">
    <cfRule type="cellIs" dxfId="2832" priority="13" operator="lessThan">
      <formula>$D$44</formula>
    </cfRule>
  </conditionalFormatting>
  <conditionalFormatting sqref="D45">
    <cfRule type="cellIs" dxfId="2831" priority="12" operator="lessThan">
      <formula>$E$45</formula>
    </cfRule>
  </conditionalFormatting>
  <conditionalFormatting sqref="E45">
    <cfRule type="cellIs" dxfId="2830" priority="11" operator="lessThan">
      <formula>$D$45</formula>
    </cfRule>
  </conditionalFormatting>
  <conditionalFormatting sqref="D46">
    <cfRule type="cellIs" dxfId="2829" priority="10" operator="lessThan">
      <formula>$E$46</formula>
    </cfRule>
  </conditionalFormatting>
  <conditionalFormatting sqref="E46">
    <cfRule type="cellIs" dxfId="2828" priority="9" operator="lessThan">
      <formula>$D$46</formula>
    </cfRule>
  </conditionalFormatting>
  <conditionalFormatting sqref="D47">
    <cfRule type="cellIs" dxfId="2827" priority="8" operator="lessThan">
      <formula>$E$47</formula>
    </cfRule>
  </conditionalFormatting>
  <conditionalFormatting sqref="E47">
    <cfRule type="cellIs" dxfId="2826" priority="7" operator="lessThan">
      <formula>$D$47</formula>
    </cfRule>
  </conditionalFormatting>
  <conditionalFormatting sqref="D48">
    <cfRule type="cellIs" dxfId="2825" priority="6" operator="lessThan">
      <formula>$E$48</formula>
    </cfRule>
  </conditionalFormatting>
  <conditionalFormatting sqref="E48">
    <cfRule type="cellIs" dxfId="2824" priority="5" operator="lessThan">
      <formula>$D$48</formula>
    </cfRule>
  </conditionalFormatting>
  <conditionalFormatting sqref="D49">
    <cfRule type="cellIs" dxfId="2823" priority="4" operator="lessThan">
      <formula>$E$49</formula>
    </cfRule>
  </conditionalFormatting>
  <conditionalFormatting sqref="E49">
    <cfRule type="cellIs" dxfId="2822" priority="3" operator="lessThan">
      <formula>$D$49</formula>
    </cfRule>
  </conditionalFormatting>
  <conditionalFormatting sqref="D50">
    <cfRule type="cellIs" dxfId="2821" priority="2" operator="lessThan">
      <formula>$E$50</formula>
    </cfRule>
  </conditionalFormatting>
  <conditionalFormatting sqref="E50">
    <cfRule type="cellIs" dxfId="2820" priority="1" operator="lessThan">
      <formula>$D$50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B5" sqref="B5"/>
    </sheetView>
  </sheetViews>
  <sheetFormatPr baseColWidth="10" defaultRowHeight="15" x14ac:dyDescent="0.25"/>
  <sheetData>
    <row r="1" spans="1:18" x14ac:dyDescent="0.25">
      <c r="A1" s="1"/>
      <c r="B1" s="2">
        <f>AVERAGE(B4:B38)</f>
        <v>2.016428571428571</v>
      </c>
      <c r="C1" s="2">
        <f>AVERAGE(C4:C30)</f>
        <v>1.6357142857142857</v>
      </c>
      <c r="D1" s="2">
        <f>AVERAGE(D4:D60)</f>
        <v>2.9757142857142864</v>
      </c>
      <c r="E1" s="2">
        <f>AVERAGE(E4:E60)</f>
        <v>3.0971428571428574</v>
      </c>
      <c r="F1" s="1">
        <f>SUM(F4:F50)</f>
        <v>851</v>
      </c>
      <c r="G1" s="1">
        <f>D1-E1</f>
        <v>-0.121428571428571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26.263750699302491</v>
      </c>
      <c r="H3" s="2">
        <f>L3/M3</f>
        <v>33.554384653059003</v>
      </c>
      <c r="I3" s="4">
        <f t="shared" ref="I3:R3" si="0">SUM(I4:I50)</f>
        <v>41.099526066350712</v>
      </c>
      <c r="J3" s="4">
        <f t="shared" si="0"/>
        <v>18.199526066350717</v>
      </c>
      <c r="K3" s="4">
        <f t="shared" si="0"/>
        <v>434.99568720379159</v>
      </c>
      <c r="L3" s="4">
        <f t="shared" si="0"/>
        <v>43499.568720379153</v>
      </c>
      <c r="M3" s="4">
        <f t="shared" si="0"/>
        <v>1296.3899999999999</v>
      </c>
      <c r="N3" s="4">
        <f t="shared" si="0"/>
        <v>39.488151658767784</v>
      </c>
      <c r="O3" s="4">
        <f t="shared" si="0"/>
        <v>11.258151658767778</v>
      </c>
      <c r="P3" s="4">
        <f t="shared" si="0"/>
        <v>382.71274881516592</v>
      </c>
      <c r="Q3" s="4">
        <f t="shared" si="0"/>
        <v>38271.274881516591</v>
      </c>
      <c r="R3" s="4">
        <f t="shared" si="0"/>
        <v>1457.1899999999998</v>
      </c>
    </row>
    <row r="4" spans="1:18" x14ac:dyDescent="0.25">
      <c r="A4" t="s">
        <v>42</v>
      </c>
      <c r="B4">
        <v>2.8</v>
      </c>
      <c r="C4">
        <v>2.1</v>
      </c>
      <c r="D4">
        <v>3.99</v>
      </c>
      <c r="E4">
        <v>3.49</v>
      </c>
      <c r="F4">
        <v>10</v>
      </c>
      <c r="G4" s="1">
        <f>Q4/R4</f>
        <v>24.611291261328695</v>
      </c>
      <c r="H4" s="1">
        <f>L4/M4</f>
        <v>34.614810087046259</v>
      </c>
      <c r="I4">
        <f t="shared" ref="I4:I51" si="1">E4/1.055</f>
        <v>3.3080568720379149</v>
      </c>
      <c r="J4">
        <f t="shared" ref="J4:J51" si="2">I4-C4</f>
        <v>1.2080568720379148</v>
      </c>
      <c r="K4">
        <f t="shared" ref="K4:K51" si="3">J4*F4</f>
        <v>12.080568720379148</v>
      </c>
      <c r="L4">
        <f>K4*100</f>
        <v>1208.0568720379147</v>
      </c>
      <c r="M4">
        <f t="shared" ref="M4:M51" si="4">E4*F4</f>
        <v>34.900000000000006</v>
      </c>
      <c r="N4">
        <f>D4/1.055</f>
        <v>3.7819905213270149</v>
      </c>
      <c r="O4">
        <f>N4-B4</f>
        <v>0.98199052132701503</v>
      </c>
      <c r="P4">
        <f>O4*F4</f>
        <v>9.8199052132701503</v>
      </c>
      <c r="Q4">
        <f>P4*100</f>
        <v>981.99052132701502</v>
      </c>
      <c r="R4">
        <f>D4*F4</f>
        <v>39.900000000000006</v>
      </c>
    </row>
    <row r="5" spans="1:18" x14ac:dyDescent="0.25">
      <c r="A5" t="s">
        <v>43</v>
      </c>
      <c r="B5">
        <v>2.59</v>
      </c>
      <c r="C5">
        <v>1.6</v>
      </c>
      <c r="D5">
        <v>3.99</v>
      </c>
      <c r="E5">
        <v>4.99</v>
      </c>
      <c r="F5">
        <v>5</v>
      </c>
      <c r="G5" s="1">
        <f t="shared" ref="G5:G51" si="5">Q5/R5</f>
        <v>29.874449156065531</v>
      </c>
      <c r="H5" s="1">
        <f t="shared" ref="H5:H51" si="6">L5/M5</f>
        <v>62.722601601306877</v>
      </c>
      <c r="I5">
        <f t="shared" si="1"/>
        <v>4.7298578199052139</v>
      </c>
      <c r="J5">
        <f t="shared" si="2"/>
        <v>3.1298578199052138</v>
      </c>
      <c r="K5">
        <f t="shared" si="3"/>
        <v>15.649289099526069</v>
      </c>
      <c r="L5">
        <f t="shared" ref="L5:L51" si="7">K5*100</f>
        <v>1564.9289099526068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5.959952606635075</v>
      </c>
      <c r="Q5">
        <f t="shared" ref="Q5:Q51" si="11">P5*100</f>
        <v>595.99526066350745</v>
      </c>
      <c r="R5">
        <f t="shared" ref="R5:R51" si="12">D5*F5</f>
        <v>19.950000000000003</v>
      </c>
    </row>
    <row r="6" spans="1:18" x14ac:dyDescent="0.25">
      <c r="A6" t="s">
        <v>44</v>
      </c>
      <c r="B6">
        <v>2.48</v>
      </c>
      <c r="C6">
        <v>1.29</v>
      </c>
      <c r="D6">
        <v>3.79</v>
      </c>
      <c r="E6">
        <v>4.99</v>
      </c>
      <c r="F6">
        <v>5</v>
      </c>
      <c r="G6" s="1">
        <f t="shared" si="5"/>
        <v>29.351373657292211</v>
      </c>
      <c r="H6" s="1">
        <f t="shared" si="6"/>
        <v>68.93502645100628</v>
      </c>
      <c r="I6">
        <f t="shared" si="1"/>
        <v>4.7298578199052139</v>
      </c>
      <c r="J6">
        <f t="shared" si="2"/>
        <v>3.4398578199052139</v>
      </c>
      <c r="K6">
        <f t="shared" si="3"/>
        <v>17.199289099526069</v>
      </c>
      <c r="L6">
        <f t="shared" si="7"/>
        <v>1719.928909952607</v>
      </c>
      <c r="M6">
        <f t="shared" si="4"/>
        <v>24.950000000000003</v>
      </c>
      <c r="N6">
        <f t="shared" si="8"/>
        <v>3.5924170616113749</v>
      </c>
      <c r="O6">
        <f t="shared" si="9"/>
        <v>1.1124170616113749</v>
      </c>
      <c r="P6">
        <f t="shared" si="10"/>
        <v>5.562085308056874</v>
      </c>
      <c r="Q6">
        <f t="shared" si="11"/>
        <v>556.20853080568736</v>
      </c>
      <c r="R6">
        <f t="shared" si="12"/>
        <v>18.95</v>
      </c>
    </row>
    <row r="7" spans="1:18" x14ac:dyDescent="0.25">
      <c r="A7" t="s">
        <v>45</v>
      </c>
      <c r="B7">
        <v>0.99</v>
      </c>
      <c r="C7">
        <v>0.99</v>
      </c>
      <c r="D7">
        <v>1.59</v>
      </c>
      <c r="E7">
        <v>1.49</v>
      </c>
      <c r="F7">
        <v>180</v>
      </c>
      <c r="G7" s="1">
        <f t="shared" si="5"/>
        <v>32.522578914423697</v>
      </c>
      <c r="H7" s="1">
        <f t="shared" si="6"/>
        <v>28.343776837685688</v>
      </c>
      <c r="I7">
        <f t="shared" si="1"/>
        <v>1.4123222748815167</v>
      </c>
      <c r="J7">
        <f t="shared" si="2"/>
        <v>0.42232227488151675</v>
      </c>
      <c r="K7">
        <f t="shared" si="3"/>
        <v>76.018009478673008</v>
      </c>
      <c r="L7">
        <f t="shared" si="7"/>
        <v>7601.8009478673011</v>
      </c>
      <c r="M7">
        <f t="shared" si="4"/>
        <v>268.2</v>
      </c>
      <c r="N7">
        <f t="shared" si="8"/>
        <v>1.5071090047393367</v>
      </c>
      <c r="O7">
        <f t="shared" si="9"/>
        <v>0.51710900473933674</v>
      </c>
      <c r="P7">
        <f t="shared" si="10"/>
        <v>93.079620853080613</v>
      </c>
      <c r="Q7">
        <f t="shared" si="11"/>
        <v>9307.9620853080614</v>
      </c>
      <c r="R7">
        <f t="shared" si="12"/>
        <v>286.2</v>
      </c>
    </row>
    <row r="8" spans="1:18" x14ac:dyDescent="0.25">
      <c r="A8" t="s">
        <v>46</v>
      </c>
      <c r="B8">
        <v>2.95</v>
      </c>
      <c r="C8">
        <v>2.4</v>
      </c>
      <c r="D8">
        <v>4.49</v>
      </c>
      <c r="E8">
        <v>4.99</v>
      </c>
      <c r="F8">
        <v>10</v>
      </c>
      <c r="G8" s="1">
        <f t="shared" si="5"/>
        <v>29.085170837775369</v>
      </c>
      <c r="H8" s="1">
        <f t="shared" si="6"/>
        <v>46.690537473050377</v>
      </c>
      <c r="I8">
        <f t="shared" si="1"/>
        <v>4.7298578199052139</v>
      </c>
      <c r="J8">
        <f t="shared" si="2"/>
        <v>2.329857819905214</v>
      </c>
      <c r="K8">
        <f t="shared" si="3"/>
        <v>23.298578199052141</v>
      </c>
      <c r="L8">
        <f t="shared" si="7"/>
        <v>2329.857819905214</v>
      </c>
      <c r="M8">
        <f t="shared" si="4"/>
        <v>49.900000000000006</v>
      </c>
      <c r="N8">
        <f t="shared" si="8"/>
        <v>4.2559241706161144</v>
      </c>
      <c r="O8">
        <f t="shared" si="9"/>
        <v>1.3059241706161142</v>
      </c>
      <c r="P8">
        <f t="shared" si="10"/>
        <v>13.059241706161142</v>
      </c>
      <c r="Q8">
        <f t="shared" si="11"/>
        <v>1305.9241706161142</v>
      </c>
      <c r="R8">
        <f t="shared" si="12"/>
        <v>44.900000000000006</v>
      </c>
    </row>
    <row r="9" spans="1:18" x14ac:dyDescent="0.25">
      <c r="A9" t="s">
        <v>47</v>
      </c>
      <c r="B9">
        <v>1.45</v>
      </c>
      <c r="C9">
        <v>1.4</v>
      </c>
      <c r="D9">
        <v>1.89</v>
      </c>
      <c r="E9">
        <v>1.99</v>
      </c>
      <c r="F9">
        <v>60</v>
      </c>
      <c r="G9" s="1">
        <f t="shared" si="5"/>
        <v>18.067153138243192</v>
      </c>
      <c r="H9" s="1">
        <f t="shared" si="6"/>
        <v>24.434971063850064</v>
      </c>
      <c r="I9">
        <f t="shared" si="1"/>
        <v>1.8862559241706163</v>
      </c>
      <c r="J9">
        <f t="shared" si="2"/>
        <v>0.48625592417061636</v>
      </c>
      <c r="K9">
        <f t="shared" si="3"/>
        <v>29.175355450236982</v>
      </c>
      <c r="L9">
        <f t="shared" si="7"/>
        <v>2917.535545023698</v>
      </c>
      <c r="M9">
        <f t="shared" si="4"/>
        <v>119.4</v>
      </c>
      <c r="N9">
        <f t="shared" si="8"/>
        <v>1.7914691943127963</v>
      </c>
      <c r="O9">
        <f t="shared" si="9"/>
        <v>0.34146919431279632</v>
      </c>
      <c r="P9">
        <f t="shared" si="10"/>
        <v>20.48815165876778</v>
      </c>
      <c r="Q9">
        <f t="shared" si="11"/>
        <v>2048.8151658767779</v>
      </c>
      <c r="R9">
        <f t="shared" si="12"/>
        <v>113.39999999999999</v>
      </c>
    </row>
    <row r="10" spans="1:18" x14ac:dyDescent="0.25">
      <c r="A10" t="s">
        <v>27</v>
      </c>
      <c r="B10">
        <v>1.35</v>
      </c>
      <c r="C10">
        <v>0.8</v>
      </c>
      <c r="D10">
        <v>1.89</v>
      </c>
      <c r="E10">
        <v>1.29</v>
      </c>
      <c r="F10">
        <v>120</v>
      </c>
      <c r="G10" s="1">
        <f t="shared" si="5"/>
        <v>23.358158429248476</v>
      </c>
      <c r="H10" s="1">
        <f t="shared" si="6"/>
        <v>32.771225981850925</v>
      </c>
      <c r="I10">
        <f t="shared" si="1"/>
        <v>1.222748815165877</v>
      </c>
      <c r="J10">
        <f t="shared" si="2"/>
        <v>0.42274881516587692</v>
      </c>
      <c r="K10">
        <f t="shared" si="3"/>
        <v>50.729857819905234</v>
      </c>
      <c r="L10">
        <f t="shared" si="7"/>
        <v>5072.9857819905237</v>
      </c>
      <c r="M10">
        <f t="shared" si="4"/>
        <v>154.80000000000001</v>
      </c>
      <c r="N10">
        <f t="shared" si="8"/>
        <v>1.7914691943127963</v>
      </c>
      <c r="O10">
        <f t="shared" si="9"/>
        <v>0.44146919431279619</v>
      </c>
      <c r="P10">
        <f t="shared" si="10"/>
        <v>52.976303317535539</v>
      </c>
      <c r="Q10">
        <f t="shared" si="11"/>
        <v>5297.6303317535539</v>
      </c>
      <c r="R10">
        <f t="shared" si="12"/>
        <v>226.79999999999998</v>
      </c>
    </row>
    <row r="11" spans="1:18" x14ac:dyDescent="0.25">
      <c r="A11" t="s">
        <v>48</v>
      </c>
      <c r="B11">
        <v>1.99</v>
      </c>
      <c r="C11">
        <v>1.69</v>
      </c>
      <c r="D11">
        <v>3.49</v>
      </c>
      <c r="E11">
        <v>2.99</v>
      </c>
      <c r="F11">
        <v>25</v>
      </c>
      <c r="G11" s="1">
        <f t="shared" si="5"/>
        <v>37.766672551229647</v>
      </c>
      <c r="H11" s="1">
        <f t="shared" si="6"/>
        <v>38.264990727385133</v>
      </c>
      <c r="I11">
        <f t="shared" si="1"/>
        <v>2.8341232227488153</v>
      </c>
      <c r="J11">
        <f t="shared" si="2"/>
        <v>1.1441232227488154</v>
      </c>
      <c r="K11">
        <f t="shared" si="3"/>
        <v>28.603080568720387</v>
      </c>
      <c r="L11">
        <f t="shared" si="7"/>
        <v>2860.3080568720388</v>
      </c>
      <c r="M11">
        <f t="shared" si="4"/>
        <v>74.75</v>
      </c>
      <c r="N11">
        <f t="shared" si="8"/>
        <v>3.3080568720379149</v>
      </c>
      <c r="O11">
        <f t="shared" si="9"/>
        <v>1.3180568720379149</v>
      </c>
      <c r="P11">
        <f t="shared" si="10"/>
        <v>32.95142180094787</v>
      </c>
      <c r="Q11">
        <f t="shared" si="11"/>
        <v>3295.1421800947869</v>
      </c>
      <c r="R11">
        <f t="shared" si="12"/>
        <v>87.25</v>
      </c>
    </row>
    <row r="12" spans="1:18" x14ac:dyDescent="0.25">
      <c r="A12" t="s">
        <v>49</v>
      </c>
      <c r="B12">
        <v>2.4</v>
      </c>
      <c r="C12">
        <v>2.4500000000000002</v>
      </c>
      <c r="D12">
        <v>3.49</v>
      </c>
      <c r="E12">
        <v>3.99</v>
      </c>
      <c r="F12">
        <v>15</v>
      </c>
      <c r="G12" s="1">
        <f t="shared" si="5"/>
        <v>26.018821548364325</v>
      </c>
      <c r="H12" s="1">
        <f t="shared" si="6"/>
        <v>33.383221085890092</v>
      </c>
      <c r="I12">
        <f t="shared" si="1"/>
        <v>3.7819905213270149</v>
      </c>
      <c r="J12">
        <f t="shared" si="2"/>
        <v>1.3319905213270147</v>
      </c>
      <c r="K12">
        <f t="shared" si="3"/>
        <v>19.97985781990522</v>
      </c>
      <c r="L12">
        <f t="shared" si="7"/>
        <v>1997.9857819905219</v>
      </c>
      <c r="M12">
        <f t="shared" si="4"/>
        <v>59.85</v>
      </c>
      <c r="N12">
        <f t="shared" si="8"/>
        <v>3.3080568720379149</v>
      </c>
      <c r="O12">
        <f t="shared" si="9"/>
        <v>0.90805687203791496</v>
      </c>
      <c r="P12">
        <f t="shared" si="10"/>
        <v>13.620853080568725</v>
      </c>
      <c r="Q12">
        <f t="shared" si="11"/>
        <v>1362.0853080568725</v>
      </c>
      <c r="R12">
        <f t="shared" si="12"/>
        <v>52.35</v>
      </c>
    </row>
    <row r="13" spans="1:18" x14ac:dyDescent="0.25">
      <c r="A13" t="s">
        <v>50</v>
      </c>
      <c r="B13">
        <v>1.45</v>
      </c>
      <c r="C13">
        <v>1.4</v>
      </c>
      <c r="D13">
        <v>1.89</v>
      </c>
      <c r="E13">
        <v>1.99</v>
      </c>
      <c r="F13">
        <v>48</v>
      </c>
      <c r="G13" s="1">
        <f t="shared" si="5"/>
        <v>18.067153138243192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23.340284360189585</v>
      </c>
      <c r="L13">
        <f t="shared" si="7"/>
        <v>2334.0284360189585</v>
      </c>
      <c r="M13">
        <f t="shared" si="4"/>
        <v>95.52</v>
      </c>
      <c r="N13">
        <f t="shared" si="8"/>
        <v>1.7914691943127963</v>
      </c>
      <c r="O13">
        <f t="shared" si="9"/>
        <v>0.34146919431279632</v>
      </c>
      <c r="P13">
        <f t="shared" si="10"/>
        <v>16.390521327014223</v>
      </c>
      <c r="Q13">
        <f t="shared" si="11"/>
        <v>1639.0521327014224</v>
      </c>
      <c r="R13">
        <f t="shared" si="12"/>
        <v>90.72</v>
      </c>
    </row>
    <row r="14" spans="1:18" x14ac:dyDescent="0.25">
      <c r="A14" t="s">
        <v>51</v>
      </c>
      <c r="B14">
        <v>2.95</v>
      </c>
      <c r="C14">
        <v>2.6</v>
      </c>
      <c r="D14">
        <v>4.49</v>
      </c>
      <c r="E14">
        <v>4.49</v>
      </c>
      <c r="F14">
        <v>5</v>
      </c>
      <c r="G14" s="1">
        <f t="shared" si="5"/>
        <v>29.085170837775369</v>
      </c>
      <c r="H14" s="1">
        <f t="shared" si="6"/>
        <v>36.880271060492518</v>
      </c>
      <c r="I14">
        <f t="shared" si="1"/>
        <v>4.2559241706161144</v>
      </c>
      <c r="J14">
        <f t="shared" si="2"/>
        <v>1.6559241706161143</v>
      </c>
      <c r="K14">
        <f t="shared" si="3"/>
        <v>8.2796208530805711</v>
      </c>
      <c r="L14">
        <f t="shared" si="7"/>
        <v>827.96208530805711</v>
      </c>
      <c r="M14">
        <f t="shared" si="4"/>
        <v>22.450000000000003</v>
      </c>
      <c r="N14">
        <f t="shared" si="8"/>
        <v>4.2559241706161144</v>
      </c>
      <c r="O14">
        <f t="shared" si="9"/>
        <v>1.3059241706161142</v>
      </c>
      <c r="P14">
        <f t="shared" si="10"/>
        <v>6.5296208530805711</v>
      </c>
      <c r="Q14">
        <f t="shared" si="11"/>
        <v>652.96208530805711</v>
      </c>
      <c r="R14">
        <f t="shared" si="12"/>
        <v>22.450000000000003</v>
      </c>
    </row>
    <row r="15" spans="1:18" x14ac:dyDescent="0.25">
      <c r="A15" t="s">
        <v>52</v>
      </c>
      <c r="B15">
        <v>1.45</v>
      </c>
      <c r="C15">
        <v>1.4</v>
      </c>
      <c r="D15">
        <v>1.99</v>
      </c>
      <c r="E15">
        <v>1.99</v>
      </c>
      <c r="F15">
        <v>36</v>
      </c>
      <c r="G15" s="1">
        <f t="shared" si="5"/>
        <v>21.922408249779714</v>
      </c>
      <c r="H15" s="1">
        <f t="shared" si="6"/>
        <v>24.434971063850067</v>
      </c>
      <c r="I15">
        <f t="shared" si="1"/>
        <v>1.8862559241706163</v>
      </c>
      <c r="J15">
        <f t="shared" si="2"/>
        <v>0.48625592417061636</v>
      </c>
      <c r="K15">
        <f t="shared" si="3"/>
        <v>17.505213270142189</v>
      </c>
      <c r="L15">
        <f t="shared" si="7"/>
        <v>1750.521327014219</v>
      </c>
      <c r="M15">
        <f t="shared" si="4"/>
        <v>71.64</v>
      </c>
      <c r="N15">
        <f t="shared" si="8"/>
        <v>1.8862559241706163</v>
      </c>
      <c r="O15">
        <f t="shared" si="9"/>
        <v>0.43625592417061632</v>
      </c>
      <c r="P15">
        <f t="shared" si="10"/>
        <v>15.705213270142188</v>
      </c>
      <c r="Q15">
        <f t="shared" si="11"/>
        <v>1570.5213270142187</v>
      </c>
      <c r="R15">
        <f t="shared" si="12"/>
        <v>71.64</v>
      </c>
    </row>
    <row r="16" spans="1:18" x14ac:dyDescent="0.25">
      <c r="A16" t="s">
        <v>53</v>
      </c>
      <c r="B16">
        <v>0.68</v>
      </c>
      <c r="C16">
        <v>0.38</v>
      </c>
      <c r="D16">
        <v>0.99</v>
      </c>
      <c r="E16">
        <v>0.69</v>
      </c>
      <c r="F16">
        <v>312</v>
      </c>
      <c r="G16" s="1">
        <f t="shared" si="5"/>
        <v>26.099861170951215</v>
      </c>
      <c r="H16" s="1">
        <f t="shared" si="6"/>
        <v>39.714266089703969</v>
      </c>
      <c r="I16">
        <f t="shared" si="1"/>
        <v>0.65402843601895733</v>
      </c>
      <c r="J16">
        <f t="shared" si="2"/>
        <v>0.27402843601895732</v>
      </c>
      <c r="K16">
        <f t="shared" si="3"/>
        <v>85.496872037914684</v>
      </c>
      <c r="L16">
        <f t="shared" si="7"/>
        <v>8549.6872037914691</v>
      </c>
      <c r="M16">
        <f t="shared" si="4"/>
        <v>215.27999999999997</v>
      </c>
      <c r="N16">
        <f t="shared" si="8"/>
        <v>0.93838862559241709</v>
      </c>
      <c r="O16">
        <f t="shared" si="9"/>
        <v>0.25838862559241704</v>
      </c>
      <c r="P16">
        <f t="shared" si="10"/>
        <v>80.617251184834117</v>
      </c>
      <c r="Q16">
        <f t="shared" si="11"/>
        <v>8061.7251184834113</v>
      </c>
      <c r="R16">
        <f t="shared" si="12"/>
        <v>308.88</v>
      </c>
    </row>
    <row r="17" spans="1:18" x14ac:dyDescent="0.25">
      <c r="A17" t="s">
        <v>54</v>
      </c>
      <c r="B17">
        <v>2.7</v>
      </c>
      <c r="C17">
        <v>2.4</v>
      </c>
      <c r="D17">
        <v>3.69</v>
      </c>
      <c r="E17">
        <v>3.99</v>
      </c>
      <c r="F17">
        <v>20</v>
      </c>
      <c r="G17" s="1">
        <f t="shared" si="5"/>
        <v>21.61599815050284</v>
      </c>
      <c r="H17" s="1">
        <f t="shared" si="6"/>
        <v>34.636353917970297</v>
      </c>
      <c r="I17">
        <f t="shared" si="1"/>
        <v>3.7819905213270149</v>
      </c>
      <c r="J17">
        <f t="shared" si="2"/>
        <v>1.3819905213270149</v>
      </c>
      <c r="K17">
        <f t="shared" si="3"/>
        <v>27.639810426540301</v>
      </c>
      <c r="L17">
        <f t="shared" si="7"/>
        <v>2763.9810426540303</v>
      </c>
      <c r="M17">
        <f t="shared" si="4"/>
        <v>79.800000000000011</v>
      </c>
      <c r="N17">
        <f t="shared" si="8"/>
        <v>3.4976303317535549</v>
      </c>
      <c r="O17">
        <f t="shared" si="9"/>
        <v>0.79763033175355469</v>
      </c>
      <c r="P17">
        <f t="shared" si="10"/>
        <v>15.952606635071094</v>
      </c>
      <c r="Q17">
        <f t="shared" si="11"/>
        <v>1595.2606635071095</v>
      </c>
      <c r="R17">
        <f t="shared" si="12"/>
        <v>73.8</v>
      </c>
    </row>
    <row r="18" spans="1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1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1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819" priority="188" operator="lessThan">
      <formula>$C$4</formula>
    </cfRule>
  </conditionalFormatting>
  <conditionalFormatting sqref="C4">
    <cfRule type="cellIs" dxfId="2818" priority="187" operator="lessThan">
      <formula>$B$4</formula>
    </cfRule>
  </conditionalFormatting>
  <conditionalFormatting sqref="B5">
    <cfRule type="cellIs" dxfId="2817" priority="186" operator="lessThan">
      <formula>$C$5</formula>
    </cfRule>
  </conditionalFormatting>
  <conditionalFormatting sqref="C5">
    <cfRule type="cellIs" dxfId="2816" priority="185" operator="lessThan">
      <formula>$B$5</formula>
    </cfRule>
  </conditionalFormatting>
  <conditionalFormatting sqref="B6">
    <cfRule type="cellIs" dxfId="2815" priority="184" operator="lessThan">
      <formula>$C$6</formula>
    </cfRule>
  </conditionalFormatting>
  <conditionalFormatting sqref="C6">
    <cfRule type="cellIs" dxfId="2814" priority="183" operator="lessThan">
      <formula>$B$6</formula>
    </cfRule>
  </conditionalFormatting>
  <conditionalFormatting sqref="B7">
    <cfRule type="cellIs" dxfId="2813" priority="182" operator="lessThan">
      <formula>$C$7</formula>
    </cfRule>
  </conditionalFormatting>
  <conditionalFormatting sqref="C7">
    <cfRule type="cellIs" dxfId="2812" priority="181" operator="lessThan">
      <formula>$B$7</formula>
    </cfRule>
  </conditionalFormatting>
  <conditionalFormatting sqref="B8">
    <cfRule type="cellIs" dxfId="2811" priority="180" operator="lessThan">
      <formula>$C$8</formula>
    </cfRule>
  </conditionalFormatting>
  <conditionalFormatting sqref="C8">
    <cfRule type="cellIs" dxfId="2810" priority="179" operator="lessThan">
      <formula>$B$8</formula>
    </cfRule>
  </conditionalFormatting>
  <conditionalFormatting sqref="B9">
    <cfRule type="cellIs" dxfId="2809" priority="178" operator="lessThan">
      <formula>$C$9</formula>
    </cfRule>
  </conditionalFormatting>
  <conditionalFormatting sqref="C9">
    <cfRule type="cellIs" dxfId="2808" priority="177" operator="lessThan">
      <formula>$B$9</formula>
    </cfRule>
  </conditionalFormatting>
  <conditionalFormatting sqref="B10">
    <cfRule type="cellIs" dxfId="2807" priority="176" operator="lessThan">
      <formula>$C$10</formula>
    </cfRule>
  </conditionalFormatting>
  <conditionalFormatting sqref="C10">
    <cfRule type="cellIs" dxfId="2806" priority="175" operator="lessThan">
      <formula>$B$10</formula>
    </cfRule>
  </conditionalFormatting>
  <conditionalFormatting sqref="B11">
    <cfRule type="cellIs" dxfId="2805" priority="174" operator="lessThan">
      <formula>$C$11</formula>
    </cfRule>
  </conditionalFormatting>
  <conditionalFormatting sqref="C11">
    <cfRule type="cellIs" dxfId="2804" priority="173" operator="lessThan">
      <formula>$B$11</formula>
    </cfRule>
  </conditionalFormatting>
  <conditionalFormatting sqref="B12">
    <cfRule type="cellIs" dxfId="2803" priority="172" operator="lessThan">
      <formula>$C$12</formula>
    </cfRule>
  </conditionalFormatting>
  <conditionalFormatting sqref="C12">
    <cfRule type="cellIs" dxfId="2802" priority="171" operator="lessThan">
      <formula>$B$12</formula>
    </cfRule>
  </conditionalFormatting>
  <conditionalFormatting sqref="B13">
    <cfRule type="cellIs" dxfId="2801" priority="170" operator="lessThan">
      <formula>$C$13</formula>
    </cfRule>
  </conditionalFormatting>
  <conditionalFormatting sqref="C13">
    <cfRule type="cellIs" dxfId="2800" priority="169" operator="lessThan">
      <formula>$B$13</formula>
    </cfRule>
  </conditionalFormatting>
  <conditionalFormatting sqref="B14">
    <cfRule type="cellIs" dxfId="2799" priority="168" operator="lessThan">
      <formula>$C$14</formula>
    </cfRule>
  </conditionalFormatting>
  <conditionalFormatting sqref="C14">
    <cfRule type="cellIs" dxfId="2798" priority="167" operator="lessThan">
      <formula>$B$14</formula>
    </cfRule>
  </conditionalFormatting>
  <conditionalFormatting sqref="B15">
    <cfRule type="cellIs" dxfId="2797" priority="166" operator="lessThan">
      <formula>$C$15</formula>
    </cfRule>
  </conditionalFormatting>
  <conditionalFormatting sqref="C15">
    <cfRule type="cellIs" dxfId="2796" priority="165" operator="lessThan">
      <formula>$B$15</formula>
    </cfRule>
  </conditionalFormatting>
  <conditionalFormatting sqref="B16">
    <cfRule type="cellIs" dxfId="2795" priority="164" operator="lessThan">
      <formula>$C$16</formula>
    </cfRule>
  </conditionalFormatting>
  <conditionalFormatting sqref="C16">
    <cfRule type="cellIs" dxfId="2794" priority="163" operator="lessThan">
      <formula>$B$16</formula>
    </cfRule>
  </conditionalFormatting>
  <conditionalFormatting sqref="B17">
    <cfRule type="cellIs" dxfId="2793" priority="162" operator="lessThan">
      <formula>$C$17</formula>
    </cfRule>
  </conditionalFormatting>
  <conditionalFormatting sqref="C17">
    <cfRule type="cellIs" dxfId="2792" priority="161" operator="lessThan">
      <formula>$B$17</formula>
    </cfRule>
  </conditionalFormatting>
  <conditionalFormatting sqref="B18">
    <cfRule type="cellIs" dxfId="2791" priority="160" operator="lessThan">
      <formula>$C$18</formula>
    </cfRule>
  </conditionalFormatting>
  <conditionalFormatting sqref="C18">
    <cfRule type="cellIs" dxfId="2790" priority="159" operator="lessThan">
      <formula>$B$18</formula>
    </cfRule>
  </conditionalFormatting>
  <conditionalFormatting sqref="C19">
    <cfRule type="cellIs" dxfId="2789" priority="158" operator="lessThan">
      <formula>$B$19</formula>
    </cfRule>
  </conditionalFormatting>
  <conditionalFormatting sqref="B19">
    <cfRule type="cellIs" dxfId="2788" priority="157" operator="lessThan">
      <formula>$C$19</formula>
    </cfRule>
  </conditionalFormatting>
  <conditionalFormatting sqref="B20">
    <cfRule type="cellIs" dxfId="2787" priority="156" operator="lessThan">
      <formula>$C$20</formula>
    </cfRule>
  </conditionalFormatting>
  <conditionalFormatting sqref="C20">
    <cfRule type="cellIs" dxfId="2786" priority="155" operator="lessThan">
      <formula>$B$20</formula>
    </cfRule>
  </conditionalFormatting>
  <conditionalFormatting sqref="B21">
    <cfRule type="cellIs" dxfId="2785" priority="154" operator="lessThan">
      <formula>$C$21</formula>
    </cfRule>
  </conditionalFormatting>
  <conditionalFormatting sqref="C21">
    <cfRule type="cellIs" dxfId="2784" priority="153" operator="lessThan">
      <formula>$B$21</formula>
    </cfRule>
  </conditionalFormatting>
  <conditionalFormatting sqref="B22">
    <cfRule type="cellIs" dxfId="2783" priority="152" operator="lessThan">
      <formula>$C$22</formula>
    </cfRule>
  </conditionalFormatting>
  <conditionalFormatting sqref="C22">
    <cfRule type="cellIs" dxfId="2782" priority="151" operator="lessThan">
      <formula>$B$22</formula>
    </cfRule>
  </conditionalFormatting>
  <conditionalFormatting sqref="B23">
    <cfRule type="cellIs" dxfId="2781" priority="150" operator="lessThan">
      <formula>$C$23</formula>
    </cfRule>
  </conditionalFormatting>
  <conditionalFormatting sqref="C23">
    <cfRule type="cellIs" dxfId="2780" priority="149" operator="lessThan">
      <formula>$B$23</formula>
    </cfRule>
  </conditionalFormatting>
  <conditionalFormatting sqref="B24">
    <cfRule type="cellIs" dxfId="2779" priority="148" operator="lessThan">
      <formula>$C$24</formula>
    </cfRule>
  </conditionalFormatting>
  <conditionalFormatting sqref="C24">
    <cfRule type="cellIs" dxfId="2778" priority="147" operator="lessThan">
      <formula>$B$24</formula>
    </cfRule>
  </conditionalFormatting>
  <conditionalFormatting sqref="B25">
    <cfRule type="cellIs" dxfId="2777" priority="146" operator="lessThan">
      <formula>$C$25</formula>
    </cfRule>
  </conditionalFormatting>
  <conditionalFormatting sqref="C25">
    <cfRule type="cellIs" dxfId="2776" priority="145" operator="lessThan">
      <formula>$B$25</formula>
    </cfRule>
  </conditionalFormatting>
  <conditionalFormatting sqref="B26">
    <cfRule type="cellIs" dxfId="2775" priority="144" operator="lessThan">
      <formula>$C$26</formula>
    </cfRule>
  </conditionalFormatting>
  <conditionalFormatting sqref="C26">
    <cfRule type="cellIs" dxfId="2774" priority="143" operator="lessThan">
      <formula>$B$26</formula>
    </cfRule>
  </conditionalFormatting>
  <conditionalFormatting sqref="B27">
    <cfRule type="cellIs" dxfId="2773" priority="142" operator="lessThan">
      <formula>$C$27</formula>
    </cfRule>
  </conditionalFormatting>
  <conditionalFormatting sqref="C27">
    <cfRule type="cellIs" dxfId="2772" priority="141" operator="lessThan">
      <formula>$B$27</formula>
    </cfRule>
  </conditionalFormatting>
  <conditionalFormatting sqref="B28">
    <cfRule type="cellIs" dxfId="2771" priority="140" operator="lessThan">
      <formula>$C$28</formula>
    </cfRule>
  </conditionalFormatting>
  <conditionalFormatting sqref="C28">
    <cfRule type="cellIs" dxfId="2770" priority="139" operator="lessThan">
      <formula>$B$28</formula>
    </cfRule>
  </conditionalFormatting>
  <conditionalFormatting sqref="B29">
    <cfRule type="cellIs" dxfId="2769" priority="138" operator="lessThan">
      <formula>$C$29</formula>
    </cfRule>
  </conditionalFormatting>
  <conditionalFormatting sqref="C29">
    <cfRule type="cellIs" dxfId="2768" priority="137" operator="lessThan">
      <formula>$B$29</formula>
    </cfRule>
  </conditionalFormatting>
  <conditionalFormatting sqref="B30">
    <cfRule type="cellIs" dxfId="2767" priority="136" operator="lessThan">
      <formula>$C$30</formula>
    </cfRule>
  </conditionalFormatting>
  <conditionalFormatting sqref="C30">
    <cfRule type="cellIs" dxfId="2766" priority="135" operator="lessThan">
      <formula>$B$30</formula>
    </cfRule>
  </conditionalFormatting>
  <conditionalFormatting sqref="B31">
    <cfRule type="cellIs" dxfId="2765" priority="134" operator="lessThan">
      <formula>$C$31</formula>
    </cfRule>
  </conditionalFormatting>
  <conditionalFormatting sqref="C31">
    <cfRule type="cellIs" dxfId="2764" priority="133" operator="lessThan">
      <formula>$B$31</formula>
    </cfRule>
  </conditionalFormatting>
  <conditionalFormatting sqref="B32">
    <cfRule type="cellIs" dxfId="2763" priority="132" operator="lessThan">
      <formula>$C$32</formula>
    </cfRule>
  </conditionalFormatting>
  <conditionalFormatting sqref="C32">
    <cfRule type="cellIs" dxfId="2762" priority="131" operator="lessThan">
      <formula>$B$32</formula>
    </cfRule>
  </conditionalFormatting>
  <conditionalFormatting sqref="B33">
    <cfRule type="cellIs" dxfId="2761" priority="130" operator="lessThan">
      <formula>$C$33</formula>
    </cfRule>
  </conditionalFormatting>
  <conditionalFormatting sqref="C33">
    <cfRule type="cellIs" dxfId="2760" priority="129" operator="lessThan">
      <formula>$B$33</formula>
    </cfRule>
  </conditionalFormatting>
  <conditionalFormatting sqref="B34">
    <cfRule type="cellIs" dxfId="2759" priority="128" operator="lessThan">
      <formula>$C$34</formula>
    </cfRule>
  </conditionalFormatting>
  <conditionalFormatting sqref="C34">
    <cfRule type="cellIs" dxfId="2758" priority="127" operator="lessThan">
      <formula>$B$34</formula>
    </cfRule>
  </conditionalFormatting>
  <conditionalFormatting sqref="B35">
    <cfRule type="cellIs" dxfId="2757" priority="126" operator="lessThan">
      <formula>$C$35</formula>
    </cfRule>
  </conditionalFormatting>
  <conditionalFormatting sqref="C35">
    <cfRule type="cellIs" dxfId="2756" priority="125" operator="lessThan">
      <formula>$B$35</formula>
    </cfRule>
  </conditionalFormatting>
  <conditionalFormatting sqref="B36">
    <cfRule type="cellIs" dxfId="2755" priority="124" operator="lessThan">
      <formula>$C$36</formula>
    </cfRule>
  </conditionalFormatting>
  <conditionalFormatting sqref="C36">
    <cfRule type="cellIs" dxfId="2754" priority="123" operator="lessThan">
      <formula>$B$36</formula>
    </cfRule>
  </conditionalFormatting>
  <conditionalFormatting sqref="B37">
    <cfRule type="cellIs" dxfId="2753" priority="122" operator="lessThan">
      <formula>$C$37</formula>
    </cfRule>
  </conditionalFormatting>
  <conditionalFormatting sqref="C37">
    <cfRule type="cellIs" dxfId="2752" priority="121" operator="lessThan">
      <formula>$B$37</formula>
    </cfRule>
  </conditionalFormatting>
  <conditionalFormatting sqref="B38">
    <cfRule type="cellIs" dxfId="2751" priority="120" operator="lessThan">
      <formula>$C$38</formula>
    </cfRule>
  </conditionalFormatting>
  <conditionalFormatting sqref="C38">
    <cfRule type="cellIs" dxfId="2750" priority="119" operator="lessThan">
      <formula>$B$38</formula>
    </cfRule>
  </conditionalFormatting>
  <conditionalFormatting sqref="B39">
    <cfRule type="cellIs" dxfId="2749" priority="118" operator="lessThan">
      <formula>$C$39</formula>
    </cfRule>
  </conditionalFormatting>
  <conditionalFormatting sqref="C39">
    <cfRule type="cellIs" dxfId="2748" priority="117" operator="lessThan">
      <formula>$B$39</formula>
    </cfRule>
  </conditionalFormatting>
  <conditionalFormatting sqref="B40">
    <cfRule type="cellIs" dxfId="2747" priority="116" operator="lessThan">
      <formula>$C$40</formula>
    </cfRule>
  </conditionalFormatting>
  <conditionalFormatting sqref="C40">
    <cfRule type="cellIs" dxfId="2746" priority="115" operator="lessThan">
      <formula>$B$40</formula>
    </cfRule>
  </conditionalFormatting>
  <conditionalFormatting sqref="B41">
    <cfRule type="cellIs" dxfId="2745" priority="114" operator="lessThan">
      <formula>$C$41</formula>
    </cfRule>
  </conditionalFormatting>
  <conditionalFormatting sqref="C41">
    <cfRule type="cellIs" dxfId="2744" priority="113" operator="lessThan">
      <formula>$B$41</formula>
    </cfRule>
  </conditionalFormatting>
  <conditionalFormatting sqref="B42">
    <cfRule type="cellIs" dxfId="2743" priority="112" operator="lessThan">
      <formula>$C$42</formula>
    </cfRule>
  </conditionalFormatting>
  <conditionalFormatting sqref="C42">
    <cfRule type="cellIs" dxfId="2742" priority="111" operator="lessThan">
      <formula>$B$42</formula>
    </cfRule>
  </conditionalFormatting>
  <conditionalFormatting sqref="B43">
    <cfRule type="cellIs" dxfId="2741" priority="110" operator="lessThan">
      <formula>$C$43</formula>
    </cfRule>
  </conditionalFormatting>
  <conditionalFormatting sqref="C43">
    <cfRule type="cellIs" dxfId="2740" priority="109" operator="lessThan">
      <formula>$B$43</formula>
    </cfRule>
  </conditionalFormatting>
  <conditionalFormatting sqref="B44">
    <cfRule type="cellIs" dxfId="2739" priority="108" operator="lessThan">
      <formula>$C$44</formula>
    </cfRule>
  </conditionalFormatting>
  <conditionalFormatting sqref="C44">
    <cfRule type="cellIs" dxfId="2738" priority="107" operator="lessThan">
      <formula>$B$44</formula>
    </cfRule>
  </conditionalFormatting>
  <conditionalFormatting sqref="B45">
    <cfRule type="cellIs" dxfId="2737" priority="106" operator="lessThan">
      <formula>$C$45</formula>
    </cfRule>
  </conditionalFormatting>
  <conditionalFormatting sqref="C45">
    <cfRule type="cellIs" dxfId="2736" priority="105" operator="lessThan">
      <formula>$B$45</formula>
    </cfRule>
  </conditionalFormatting>
  <conditionalFormatting sqref="B46">
    <cfRule type="cellIs" dxfId="2735" priority="104" operator="lessThan">
      <formula>$C$46</formula>
    </cfRule>
  </conditionalFormatting>
  <conditionalFormatting sqref="C46">
    <cfRule type="cellIs" dxfId="2734" priority="103" operator="lessThan">
      <formula>$B$46</formula>
    </cfRule>
  </conditionalFormatting>
  <conditionalFormatting sqref="B47">
    <cfRule type="cellIs" dxfId="2733" priority="102" operator="lessThan">
      <formula>$C$47</formula>
    </cfRule>
  </conditionalFormatting>
  <conditionalFormatting sqref="C47">
    <cfRule type="cellIs" dxfId="2732" priority="101" operator="lessThan">
      <formula>$B$47</formula>
    </cfRule>
  </conditionalFormatting>
  <conditionalFormatting sqref="B48">
    <cfRule type="cellIs" dxfId="2731" priority="100" operator="lessThan">
      <formula>$C$48</formula>
    </cfRule>
  </conditionalFormatting>
  <conditionalFormatting sqref="C48">
    <cfRule type="cellIs" dxfId="2730" priority="99" operator="lessThan">
      <formula>$B$48</formula>
    </cfRule>
  </conditionalFormatting>
  <conditionalFormatting sqref="B49">
    <cfRule type="cellIs" dxfId="2729" priority="98" operator="lessThan">
      <formula>$C$49</formula>
    </cfRule>
  </conditionalFormatting>
  <conditionalFormatting sqref="C49">
    <cfRule type="cellIs" dxfId="2728" priority="97" operator="lessThan">
      <formula>$B$49</formula>
    </cfRule>
  </conditionalFormatting>
  <conditionalFormatting sqref="B50">
    <cfRule type="cellIs" dxfId="2727" priority="96" operator="lessThan">
      <formula>$C$50</formula>
    </cfRule>
  </conditionalFormatting>
  <conditionalFormatting sqref="C50">
    <cfRule type="cellIs" dxfId="2726" priority="95" operator="lessThan">
      <formula>$B$50</formula>
    </cfRule>
  </conditionalFormatting>
  <conditionalFormatting sqref="D4">
    <cfRule type="cellIs" dxfId="2725" priority="94" operator="lessThan">
      <formula>$E$4</formula>
    </cfRule>
  </conditionalFormatting>
  <conditionalFormatting sqref="E4">
    <cfRule type="cellIs" dxfId="2724" priority="93" operator="lessThan">
      <formula>$D$4</formula>
    </cfRule>
  </conditionalFormatting>
  <conditionalFormatting sqref="D5">
    <cfRule type="cellIs" dxfId="2723" priority="92" operator="lessThan">
      <formula>$E$5</formula>
    </cfRule>
  </conditionalFormatting>
  <conditionalFormatting sqref="E5">
    <cfRule type="cellIs" dxfId="2722" priority="91" operator="lessThan">
      <formula>$D$5</formula>
    </cfRule>
  </conditionalFormatting>
  <conditionalFormatting sqref="D6">
    <cfRule type="cellIs" dxfId="2721" priority="90" operator="lessThan">
      <formula>$E$6</formula>
    </cfRule>
  </conditionalFormatting>
  <conditionalFormatting sqref="E6">
    <cfRule type="cellIs" dxfId="2720" priority="89" operator="lessThan">
      <formula>$D$6</formula>
    </cfRule>
  </conditionalFormatting>
  <conditionalFormatting sqref="D7">
    <cfRule type="cellIs" dxfId="2719" priority="88" operator="lessThan">
      <formula>$E$7</formula>
    </cfRule>
  </conditionalFormatting>
  <conditionalFormatting sqref="E7">
    <cfRule type="cellIs" dxfId="2718" priority="87" operator="lessThan">
      <formula>$D$7</formula>
    </cfRule>
  </conditionalFormatting>
  <conditionalFormatting sqref="D8">
    <cfRule type="cellIs" dxfId="2717" priority="86" operator="lessThan">
      <formula>$E$8</formula>
    </cfRule>
  </conditionalFormatting>
  <conditionalFormatting sqref="E8">
    <cfRule type="cellIs" dxfId="2716" priority="85" operator="lessThan">
      <formula>$D$8</formula>
    </cfRule>
  </conditionalFormatting>
  <conditionalFormatting sqref="D9">
    <cfRule type="cellIs" dxfId="2715" priority="84" operator="lessThan">
      <formula>$E$9</formula>
    </cfRule>
  </conditionalFormatting>
  <conditionalFormatting sqref="E9">
    <cfRule type="cellIs" dxfId="2714" priority="83" operator="lessThan">
      <formula>$D$9</formula>
    </cfRule>
  </conditionalFormatting>
  <conditionalFormatting sqref="D10">
    <cfRule type="cellIs" dxfId="2713" priority="82" operator="lessThan">
      <formula>$E$10</formula>
    </cfRule>
  </conditionalFormatting>
  <conditionalFormatting sqref="E10">
    <cfRule type="cellIs" dxfId="2712" priority="81" operator="lessThan">
      <formula>$D$10</formula>
    </cfRule>
  </conditionalFormatting>
  <conditionalFormatting sqref="D11">
    <cfRule type="cellIs" dxfId="2711" priority="80" operator="lessThan">
      <formula>$E$11</formula>
    </cfRule>
  </conditionalFormatting>
  <conditionalFormatting sqref="E11">
    <cfRule type="cellIs" dxfId="2710" priority="79" operator="lessThan">
      <formula>$D$11</formula>
    </cfRule>
  </conditionalFormatting>
  <conditionalFormatting sqref="D12">
    <cfRule type="cellIs" dxfId="2709" priority="78" operator="lessThan">
      <formula>$E$12</formula>
    </cfRule>
  </conditionalFormatting>
  <conditionalFormatting sqref="E12">
    <cfRule type="cellIs" dxfId="2708" priority="77" operator="lessThan">
      <formula>$D$12</formula>
    </cfRule>
  </conditionalFormatting>
  <conditionalFormatting sqref="D13">
    <cfRule type="cellIs" dxfId="2707" priority="76" operator="lessThan">
      <formula>$E$13</formula>
    </cfRule>
  </conditionalFormatting>
  <conditionalFormatting sqref="E13">
    <cfRule type="cellIs" dxfId="2706" priority="75" operator="lessThan">
      <formula>$D$13</formula>
    </cfRule>
  </conditionalFormatting>
  <conditionalFormatting sqref="D14">
    <cfRule type="cellIs" dxfId="2705" priority="74" operator="lessThan">
      <formula>$E$14</formula>
    </cfRule>
  </conditionalFormatting>
  <conditionalFormatting sqref="E14">
    <cfRule type="cellIs" dxfId="2704" priority="73" operator="lessThan">
      <formula>$D$14</formula>
    </cfRule>
  </conditionalFormatting>
  <conditionalFormatting sqref="D15">
    <cfRule type="cellIs" dxfId="2703" priority="72" operator="lessThan">
      <formula>$E$15</formula>
    </cfRule>
  </conditionalFormatting>
  <conditionalFormatting sqref="E15">
    <cfRule type="cellIs" dxfId="2702" priority="71" operator="lessThan">
      <formula>$D$15</formula>
    </cfRule>
  </conditionalFormatting>
  <conditionalFormatting sqref="D16">
    <cfRule type="cellIs" dxfId="2701" priority="70" operator="lessThan">
      <formula>$E$16</formula>
    </cfRule>
  </conditionalFormatting>
  <conditionalFormatting sqref="E16">
    <cfRule type="cellIs" dxfId="2700" priority="69" operator="lessThan">
      <formula>$D$16</formula>
    </cfRule>
  </conditionalFormatting>
  <conditionalFormatting sqref="D17">
    <cfRule type="cellIs" dxfId="2699" priority="68" operator="lessThan">
      <formula>$E$17</formula>
    </cfRule>
  </conditionalFormatting>
  <conditionalFormatting sqref="E17">
    <cfRule type="cellIs" dxfId="2698" priority="67" operator="lessThan">
      <formula>$D$17</formula>
    </cfRule>
  </conditionalFormatting>
  <conditionalFormatting sqref="D18">
    <cfRule type="cellIs" dxfId="2697" priority="66" operator="lessThan">
      <formula>$E$18</formula>
    </cfRule>
  </conditionalFormatting>
  <conditionalFormatting sqref="E18">
    <cfRule type="cellIs" dxfId="2696" priority="65" operator="lessThan">
      <formula>$D$18</formula>
    </cfRule>
  </conditionalFormatting>
  <conditionalFormatting sqref="D19">
    <cfRule type="cellIs" dxfId="2695" priority="64" operator="lessThan">
      <formula>$E$19</formula>
    </cfRule>
  </conditionalFormatting>
  <conditionalFormatting sqref="E19">
    <cfRule type="cellIs" dxfId="2694" priority="63" operator="lessThan">
      <formula>$D$19</formula>
    </cfRule>
  </conditionalFormatting>
  <conditionalFormatting sqref="D20">
    <cfRule type="cellIs" dxfId="2693" priority="62" operator="lessThan">
      <formula>$E$20</formula>
    </cfRule>
  </conditionalFormatting>
  <conditionalFormatting sqref="E20">
    <cfRule type="cellIs" dxfId="2692" priority="61" operator="lessThan">
      <formula>$D$20</formula>
    </cfRule>
  </conditionalFormatting>
  <conditionalFormatting sqref="D21">
    <cfRule type="cellIs" dxfId="2691" priority="60" operator="lessThan">
      <formula>$E$21</formula>
    </cfRule>
  </conditionalFormatting>
  <conditionalFormatting sqref="E21">
    <cfRule type="cellIs" dxfId="2690" priority="59" operator="lessThan">
      <formula>$D$21</formula>
    </cfRule>
  </conditionalFormatting>
  <conditionalFormatting sqref="D22">
    <cfRule type="cellIs" dxfId="2689" priority="58" operator="lessThan">
      <formula>$E$22</formula>
    </cfRule>
  </conditionalFormatting>
  <conditionalFormatting sqref="E22">
    <cfRule type="cellIs" dxfId="2688" priority="57" operator="lessThan">
      <formula>$D$22</formula>
    </cfRule>
  </conditionalFormatting>
  <conditionalFormatting sqref="D23">
    <cfRule type="cellIs" dxfId="2687" priority="56" operator="lessThan">
      <formula>$E$23</formula>
    </cfRule>
  </conditionalFormatting>
  <conditionalFormatting sqref="E23">
    <cfRule type="cellIs" dxfId="2686" priority="55" operator="lessThan">
      <formula>$D$23</formula>
    </cfRule>
  </conditionalFormatting>
  <conditionalFormatting sqref="D24">
    <cfRule type="cellIs" dxfId="2685" priority="54" operator="lessThan">
      <formula>$E$24</formula>
    </cfRule>
  </conditionalFormatting>
  <conditionalFormatting sqref="E24">
    <cfRule type="cellIs" dxfId="2684" priority="53" operator="lessThan">
      <formula>$D$24</formula>
    </cfRule>
  </conditionalFormatting>
  <conditionalFormatting sqref="D25">
    <cfRule type="cellIs" dxfId="2683" priority="52" operator="lessThan">
      <formula>$E$25</formula>
    </cfRule>
  </conditionalFormatting>
  <conditionalFormatting sqref="E25">
    <cfRule type="cellIs" dxfId="2682" priority="51" operator="lessThan">
      <formula>$D$25</formula>
    </cfRule>
  </conditionalFormatting>
  <conditionalFormatting sqref="D26">
    <cfRule type="cellIs" dxfId="2681" priority="50" operator="lessThan">
      <formula>$E$26</formula>
    </cfRule>
  </conditionalFormatting>
  <conditionalFormatting sqref="E26">
    <cfRule type="cellIs" dxfId="2680" priority="49" operator="lessThan">
      <formula>$D$26</formula>
    </cfRule>
  </conditionalFormatting>
  <conditionalFormatting sqref="D27">
    <cfRule type="cellIs" dxfId="2679" priority="48" operator="lessThan">
      <formula>$E$27</formula>
    </cfRule>
  </conditionalFormatting>
  <conditionalFormatting sqref="E27">
    <cfRule type="cellIs" dxfId="2678" priority="47" operator="lessThan">
      <formula>$D$27</formula>
    </cfRule>
  </conditionalFormatting>
  <conditionalFormatting sqref="D28">
    <cfRule type="cellIs" dxfId="2677" priority="46" operator="lessThan">
      <formula>$E$28</formula>
    </cfRule>
  </conditionalFormatting>
  <conditionalFormatting sqref="E28">
    <cfRule type="cellIs" dxfId="2676" priority="45" operator="lessThan">
      <formula>$D$28</formula>
    </cfRule>
  </conditionalFormatting>
  <conditionalFormatting sqref="D29">
    <cfRule type="cellIs" dxfId="2675" priority="44" operator="lessThan">
      <formula>$E$29</formula>
    </cfRule>
  </conditionalFormatting>
  <conditionalFormatting sqref="E29">
    <cfRule type="cellIs" dxfId="2674" priority="43" operator="lessThan">
      <formula>$D$29</formula>
    </cfRule>
  </conditionalFormatting>
  <conditionalFormatting sqref="D30">
    <cfRule type="cellIs" dxfId="2673" priority="42" operator="lessThan">
      <formula>$E$30</formula>
    </cfRule>
  </conditionalFormatting>
  <conditionalFormatting sqref="E30">
    <cfRule type="cellIs" dxfId="2672" priority="41" operator="lessThan">
      <formula>$D$30</formula>
    </cfRule>
  </conditionalFormatting>
  <conditionalFormatting sqref="D31">
    <cfRule type="cellIs" dxfId="2671" priority="40" operator="lessThan">
      <formula>$E$31</formula>
    </cfRule>
  </conditionalFormatting>
  <conditionalFormatting sqref="E31">
    <cfRule type="cellIs" dxfId="2670" priority="39" operator="lessThan">
      <formula>$D$31</formula>
    </cfRule>
  </conditionalFormatting>
  <conditionalFormatting sqref="D32">
    <cfRule type="cellIs" dxfId="2669" priority="38" operator="lessThan">
      <formula>$E$32</formula>
    </cfRule>
  </conditionalFormatting>
  <conditionalFormatting sqref="E32">
    <cfRule type="cellIs" dxfId="2668" priority="37" operator="lessThan">
      <formula>$D$32</formula>
    </cfRule>
  </conditionalFormatting>
  <conditionalFormatting sqref="D33">
    <cfRule type="cellIs" dxfId="2667" priority="36" operator="lessThan">
      <formula>$E$33</formula>
    </cfRule>
  </conditionalFormatting>
  <conditionalFormatting sqref="E33">
    <cfRule type="cellIs" dxfId="2666" priority="35" operator="lessThan">
      <formula>$D$33</formula>
    </cfRule>
  </conditionalFormatting>
  <conditionalFormatting sqref="D34">
    <cfRule type="cellIs" dxfId="2665" priority="34" operator="lessThan">
      <formula>$E$34</formula>
    </cfRule>
  </conditionalFormatting>
  <conditionalFormatting sqref="E34">
    <cfRule type="cellIs" dxfId="2664" priority="33" operator="lessThan">
      <formula>$D$34</formula>
    </cfRule>
  </conditionalFormatting>
  <conditionalFormatting sqref="D35">
    <cfRule type="cellIs" dxfId="2663" priority="32" operator="lessThan">
      <formula>$E$35</formula>
    </cfRule>
  </conditionalFormatting>
  <conditionalFormatting sqref="E35">
    <cfRule type="cellIs" dxfId="2662" priority="31" operator="lessThan">
      <formula>$D$35</formula>
    </cfRule>
  </conditionalFormatting>
  <conditionalFormatting sqref="D36">
    <cfRule type="cellIs" dxfId="2661" priority="30" operator="lessThan">
      <formula>$E$36</formula>
    </cfRule>
  </conditionalFormatting>
  <conditionalFormatting sqref="E36">
    <cfRule type="cellIs" dxfId="2660" priority="29" operator="lessThan">
      <formula>$D$36</formula>
    </cfRule>
  </conditionalFormatting>
  <conditionalFormatting sqref="D37">
    <cfRule type="cellIs" dxfId="2659" priority="28" operator="lessThan">
      <formula>$E$37</formula>
    </cfRule>
  </conditionalFormatting>
  <conditionalFormatting sqref="E37">
    <cfRule type="cellIs" dxfId="2658" priority="27" operator="lessThan">
      <formula>$D$37</formula>
    </cfRule>
  </conditionalFormatting>
  <conditionalFormatting sqref="D38">
    <cfRule type="cellIs" dxfId="2657" priority="26" operator="lessThan">
      <formula>$E$38</formula>
    </cfRule>
  </conditionalFormatting>
  <conditionalFormatting sqref="E38">
    <cfRule type="cellIs" dxfId="2656" priority="25" operator="lessThan">
      <formula>$D$38</formula>
    </cfRule>
  </conditionalFormatting>
  <conditionalFormatting sqref="D39">
    <cfRule type="cellIs" dxfId="2655" priority="24" operator="lessThan">
      <formula>$E$39</formula>
    </cfRule>
  </conditionalFormatting>
  <conditionalFormatting sqref="E39">
    <cfRule type="cellIs" dxfId="2654" priority="23" operator="lessThan">
      <formula>$D$39</formula>
    </cfRule>
  </conditionalFormatting>
  <conditionalFormatting sqref="D40">
    <cfRule type="cellIs" dxfId="2653" priority="22" operator="lessThan">
      <formula>$E$40</formula>
    </cfRule>
  </conditionalFormatting>
  <conditionalFormatting sqref="E40">
    <cfRule type="cellIs" dxfId="2652" priority="21" operator="lessThan">
      <formula>$D$40</formula>
    </cfRule>
  </conditionalFormatting>
  <conditionalFormatting sqref="D41">
    <cfRule type="cellIs" dxfId="2651" priority="20" operator="lessThan">
      <formula>$E$41</formula>
    </cfRule>
  </conditionalFormatting>
  <conditionalFormatting sqref="E41">
    <cfRule type="cellIs" dxfId="2650" priority="19" operator="lessThan">
      <formula>$D$41</formula>
    </cfRule>
  </conditionalFormatting>
  <conditionalFormatting sqref="D42">
    <cfRule type="cellIs" dxfId="2649" priority="18" operator="lessThan">
      <formula>$E$42</formula>
    </cfRule>
  </conditionalFormatting>
  <conditionalFormatting sqref="E42">
    <cfRule type="cellIs" dxfId="2648" priority="17" operator="lessThan">
      <formula>$D$42</formula>
    </cfRule>
  </conditionalFormatting>
  <conditionalFormatting sqref="D43">
    <cfRule type="cellIs" dxfId="2647" priority="16" operator="lessThan">
      <formula>$E$43</formula>
    </cfRule>
  </conditionalFormatting>
  <conditionalFormatting sqref="E43">
    <cfRule type="cellIs" dxfId="2646" priority="15" operator="lessThan">
      <formula>$D$43</formula>
    </cfRule>
  </conditionalFormatting>
  <conditionalFormatting sqref="D44">
    <cfRule type="cellIs" dxfId="2645" priority="14" operator="lessThan">
      <formula>$E$44</formula>
    </cfRule>
  </conditionalFormatting>
  <conditionalFormatting sqref="E44">
    <cfRule type="cellIs" dxfId="2644" priority="13" operator="lessThan">
      <formula>$D$44</formula>
    </cfRule>
  </conditionalFormatting>
  <conditionalFormatting sqref="D45">
    <cfRule type="cellIs" dxfId="2643" priority="12" operator="lessThan">
      <formula>$E$45</formula>
    </cfRule>
  </conditionalFormatting>
  <conditionalFormatting sqref="E45">
    <cfRule type="cellIs" dxfId="2642" priority="11" operator="lessThan">
      <formula>$D$45</formula>
    </cfRule>
  </conditionalFormatting>
  <conditionalFormatting sqref="D46">
    <cfRule type="cellIs" dxfId="2641" priority="10" operator="lessThan">
      <formula>$E$46</formula>
    </cfRule>
  </conditionalFormatting>
  <conditionalFormatting sqref="E46">
    <cfRule type="cellIs" dxfId="2640" priority="9" operator="lessThan">
      <formula>$D$46</formula>
    </cfRule>
  </conditionalFormatting>
  <conditionalFormatting sqref="D47">
    <cfRule type="cellIs" dxfId="2639" priority="8" operator="lessThan">
      <formula>$E$47</formula>
    </cfRule>
  </conditionalFormatting>
  <conditionalFormatting sqref="E47">
    <cfRule type="cellIs" dxfId="2638" priority="7" operator="lessThan">
      <formula>$D$47</formula>
    </cfRule>
  </conditionalFormatting>
  <conditionalFormatting sqref="D48">
    <cfRule type="cellIs" dxfId="2637" priority="6" operator="lessThan">
      <formula>$E$48</formula>
    </cfRule>
  </conditionalFormatting>
  <conditionalFormatting sqref="E48">
    <cfRule type="cellIs" dxfId="2636" priority="5" operator="lessThan">
      <formula>$D$48</formula>
    </cfRule>
  </conditionalFormatting>
  <conditionalFormatting sqref="D49">
    <cfRule type="cellIs" dxfId="2635" priority="4" operator="lessThan">
      <formula>$E$49</formula>
    </cfRule>
  </conditionalFormatting>
  <conditionalFormatting sqref="E49">
    <cfRule type="cellIs" dxfId="2634" priority="3" operator="lessThan">
      <formula>$D$49</formula>
    </cfRule>
  </conditionalFormatting>
  <conditionalFormatting sqref="D50">
    <cfRule type="cellIs" dxfId="2633" priority="2" operator="lessThan">
      <formula>$E$50</formula>
    </cfRule>
  </conditionalFormatting>
  <conditionalFormatting sqref="E50">
    <cfRule type="cellIs" dxfId="2632" priority="1" operator="lessThan">
      <formula>$D$50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6" sqref="D16"/>
    </sheetView>
  </sheetViews>
  <sheetFormatPr baseColWidth="10" defaultRowHeight="15" x14ac:dyDescent="0.25"/>
  <sheetData>
    <row r="1" spans="1:18" x14ac:dyDescent="0.25">
      <c r="A1" s="1"/>
      <c r="B1" s="2">
        <f>AVERAGE(B4:B38)</f>
        <v>2.1229411764705879</v>
      </c>
      <c r="C1" s="2">
        <f>AVERAGE(C4:C30)</f>
        <v>1.861764705882353</v>
      </c>
      <c r="D1" s="2">
        <f>AVERAGE(D4:D60)</f>
        <v>3.1900000000000004</v>
      </c>
      <c r="E1" s="2">
        <f>AVERAGE(E4:E60)</f>
        <v>3.2782352941176471</v>
      </c>
      <c r="F1" s="1">
        <f>SUM(F4:F50)</f>
        <v>691.79899999999998</v>
      </c>
      <c r="G1" s="1">
        <f>D1-E1</f>
        <v>-8.8235294117646745E-2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26.054498501105389</v>
      </c>
      <c r="H3" s="2">
        <f>L3/M3</f>
        <v>31.772782798840446</v>
      </c>
      <c r="I3" s="4">
        <f t="shared" ref="I3:R3" si="0">SUM(I4:I50)</f>
        <v>52.82464454976305</v>
      </c>
      <c r="J3" s="4">
        <f t="shared" si="0"/>
        <v>21.174644549763045</v>
      </c>
      <c r="K3" s="4">
        <f t="shared" si="0"/>
        <v>449.3315871563982</v>
      </c>
      <c r="L3" s="4">
        <f t="shared" si="0"/>
        <v>44933.158715639824</v>
      </c>
      <c r="M3" s="4">
        <f t="shared" si="0"/>
        <v>1414.20281</v>
      </c>
      <c r="N3" s="4">
        <f t="shared" si="0"/>
        <v>51.402843601895746</v>
      </c>
      <c r="O3" s="4">
        <f t="shared" si="0"/>
        <v>15.312843601895741</v>
      </c>
      <c r="P3" s="4">
        <f t="shared" si="0"/>
        <v>385.89390943127984</v>
      </c>
      <c r="Q3" s="4">
        <f t="shared" si="0"/>
        <v>38589.390943127975</v>
      </c>
      <c r="R3" s="4">
        <f t="shared" si="0"/>
        <v>1481.1028099999999</v>
      </c>
    </row>
    <row r="4" spans="1:18" x14ac:dyDescent="0.25">
      <c r="A4" t="s">
        <v>55</v>
      </c>
      <c r="B4">
        <v>2.59</v>
      </c>
      <c r="C4">
        <v>1.6</v>
      </c>
      <c r="D4">
        <v>3.99</v>
      </c>
      <c r="E4">
        <v>4.99</v>
      </c>
      <c r="F4">
        <v>5</v>
      </c>
      <c r="G4" s="1">
        <f>Q4/R4</f>
        <v>29.874449156065531</v>
      </c>
      <c r="H4" s="1">
        <f>L4/M4</f>
        <v>62.722601601306877</v>
      </c>
      <c r="I4">
        <f t="shared" ref="I4:I51" si="1">E4/1.055</f>
        <v>4.7298578199052139</v>
      </c>
      <c r="J4">
        <f t="shared" ref="J4:J51" si="2">I4-C4</f>
        <v>3.1298578199052138</v>
      </c>
      <c r="K4">
        <f t="shared" ref="K4:K51" si="3">J4*F4</f>
        <v>15.649289099526069</v>
      </c>
      <c r="L4">
        <f>K4*100</f>
        <v>1564.9289099526068</v>
      </c>
      <c r="M4">
        <f t="shared" ref="M4:M51" si="4">E4*F4</f>
        <v>24.950000000000003</v>
      </c>
      <c r="N4">
        <f>D4/1.055</f>
        <v>3.7819905213270149</v>
      </c>
      <c r="O4">
        <f>N4-B4</f>
        <v>1.191990521327015</v>
      </c>
      <c r="P4">
        <f>O4*F4</f>
        <v>5.959952606635075</v>
      </c>
      <c r="Q4">
        <f>P4*100</f>
        <v>595.99526066350745</v>
      </c>
      <c r="R4">
        <f>D4*F4</f>
        <v>19.950000000000003</v>
      </c>
    </row>
    <row r="5" spans="1:18" x14ac:dyDescent="0.25">
      <c r="A5" t="s">
        <v>56</v>
      </c>
      <c r="B5">
        <v>2.48</v>
      </c>
      <c r="C5">
        <v>1.39</v>
      </c>
      <c r="D5">
        <v>3.79</v>
      </c>
      <c r="E5">
        <v>4.99</v>
      </c>
      <c r="F5">
        <v>5</v>
      </c>
      <c r="G5" s="1">
        <f t="shared" ref="G5:G51" si="5">Q5/R5</f>
        <v>29.351373657292211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16.699289099526069</v>
      </c>
      <c r="L5">
        <f t="shared" ref="L5:L51" si="7">K5*100</f>
        <v>1669.928909952607</v>
      </c>
      <c r="M5">
        <f t="shared" si="4"/>
        <v>24.950000000000003</v>
      </c>
      <c r="N5">
        <f t="shared" ref="N5:N51" si="8">D5/1.055</f>
        <v>3.5924170616113749</v>
      </c>
      <c r="O5">
        <f t="shared" ref="O5:O51" si="9">N5-B5</f>
        <v>1.1124170616113749</v>
      </c>
      <c r="P5">
        <f t="shared" ref="P5:P51" si="10">O5*F5</f>
        <v>5.562085308056874</v>
      </c>
      <c r="Q5">
        <f t="shared" ref="Q5:Q51" si="11">P5*100</f>
        <v>556.20853080568736</v>
      </c>
      <c r="R5">
        <f t="shared" ref="R5:R51" si="12">D5*F5</f>
        <v>18.95</v>
      </c>
    </row>
    <row r="6" spans="1:18" x14ac:dyDescent="0.25">
      <c r="A6" t="s">
        <v>57</v>
      </c>
      <c r="B6">
        <v>2.95</v>
      </c>
      <c r="C6">
        <v>2.7</v>
      </c>
      <c r="D6">
        <v>4.49</v>
      </c>
      <c r="E6">
        <v>4.99</v>
      </c>
      <c r="F6">
        <v>20</v>
      </c>
      <c r="G6" s="1">
        <f t="shared" si="5"/>
        <v>29.085170837775369</v>
      </c>
      <c r="H6" s="1">
        <f t="shared" si="6"/>
        <v>40.678513424954183</v>
      </c>
      <c r="I6">
        <f t="shared" si="1"/>
        <v>4.7298578199052139</v>
      </c>
      <c r="J6">
        <f t="shared" si="2"/>
        <v>2.0298578199052137</v>
      </c>
      <c r="K6">
        <f t="shared" si="3"/>
        <v>40.597156398104275</v>
      </c>
      <c r="L6">
        <f t="shared" si="7"/>
        <v>4059.7156398104275</v>
      </c>
      <c r="M6">
        <f t="shared" si="4"/>
        <v>99.800000000000011</v>
      </c>
      <c r="N6">
        <f t="shared" si="8"/>
        <v>4.2559241706161144</v>
      </c>
      <c r="O6">
        <f t="shared" si="9"/>
        <v>1.3059241706161142</v>
      </c>
      <c r="P6">
        <f t="shared" si="10"/>
        <v>26.118483412322284</v>
      </c>
      <c r="Q6">
        <f t="shared" si="11"/>
        <v>2611.8483412322284</v>
      </c>
      <c r="R6">
        <f t="shared" si="12"/>
        <v>89.800000000000011</v>
      </c>
    </row>
    <row r="7" spans="1:18" x14ac:dyDescent="0.25">
      <c r="A7" t="s">
        <v>58</v>
      </c>
      <c r="B7">
        <v>4.49</v>
      </c>
      <c r="C7">
        <v>3.19</v>
      </c>
      <c r="D7">
        <v>6.49</v>
      </c>
      <c r="E7">
        <v>4.99</v>
      </c>
      <c r="F7">
        <v>10</v>
      </c>
      <c r="G7" s="1">
        <f t="shared" si="5"/>
        <v>25.603370843952419</v>
      </c>
      <c r="H7" s="1">
        <f t="shared" si="6"/>
        <v>30.858874146397071</v>
      </c>
      <c r="I7">
        <f t="shared" si="1"/>
        <v>4.7298578199052139</v>
      </c>
      <c r="J7">
        <f t="shared" si="2"/>
        <v>1.539857819905214</v>
      </c>
      <c r="K7">
        <f t="shared" si="3"/>
        <v>15.398578199052139</v>
      </c>
      <c r="L7">
        <f t="shared" si="7"/>
        <v>1539.857819905214</v>
      </c>
      <c r="M7">
        <f t="shared" si="4"/>
        <v>49.900000000000006</v>
      </c>
      <c r="N7">
        <f t="shared" si="8"/>
        <v>6.1516587677725125</v>
      </c>
      <c r="O7">
        <f t="shared" si="9"/>
        <v>1.6616587677725123</v>
      </c>
      <c r="P7">
        <f t="shared" si="10"/>
        <v>16.616587677725121</v>
      </c>
      <c r="Q7">
        <f t="shared" si="11"/>
        <v>1661.6587677725122</v>
      </c>
      <c r="R7">
        <f t="shared" si="12"/>
        <v>64.900000000000006</v>
      </c>
    </row>
    <row r="8" spans="1:18" x14ac:dyDescent="0.25">
      <c r="A8" t="s">
        <v>59</v>
      </c>
      <c r="B8">
        <v>0.7</v>
      </c>
      <c r="C8">
        <v>0.8</v>
      </c>
      <c r="D8">
        <v>0.99</v>
      </c>
      <c r="E8">
        <v>0.99</v>
      </c>
      <c r="F8">
        <v>40</v>
      </c>
      <c r="G8" s="1">
        <f t="shared" si="5"/>
        <v>24.079659150749201</v>
      </c>
      <c r="H8" s="1">
        <f t="shared" si="6"/>
        <v>13.978649049739095</v>
      </c>
      <c r="I8">
        <f t="shared" si="1"/>
        <v>0.93838862559241709</v>
      </c>
      <c r="J8">
        <f t="shared" si="2"/>
        <v>0.13838862559241705</v>
      </c>
      <c r="K8">
        <f t="shared" si="3"/>
        <v>5.5355450236966819</v>
      </c>
      <c r="L8">
        <f t="shared" si="7"/>
        <v>553.55450236966817</v>
      </c>
      <c r="M8">
        <f t="shared" si="4"/>
        <v>39.6</v>
      </c>
      <c r="N8">
        <f t="shared" si="8"/>
        <v>0.93838862559241709</v>
      </c>
      <c r="O8">
        <f t="shared" si="9"/>
        <v>0.23838862559241714</v>
      </c>
      <c r="P8">
        <f t="shared" si="10"/>
        <v>9.5355450236966846</v>
      </c>
      <c r="Q8">
        <f t="shared" si="11"/>
        <v>953.5545023696684</v>
      </c>
      <c r="R8">
        <f t="shared" si="12"/>
        <v>39.6</v>
      </c>
    </row>
    <row r="9" spans="1:18" x14ac:dyDescent="0.25">
      <c r="A9" t="s">
        <v>60</v>
      </c>
      <c r="B9">
        <v>1.45</v>
      </c>
      <c r="C9">
        <v>1.4</v>
      </c>
      <c r="D9">
        <v>1.89</v>
      </c>
      <c r="E9">
        <v>1.99</v>
      </c>
      <c r="F9">
        <v>72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35.010426540284378</v>
      </c>
      <c r="L9">
        <f t="shared" si="7"/>
        <v>3501.0426540284379</v>
      </c>
      <c r="M9">
        <f t="shared" si="4"/>
        <v>143.28</v>
      </c>
      <c r="N9">
        <f t="shared" si="8"/>
        <v>1.7914691943127963</v>
      </c>
      <c r="O9">
        <f t="shared" si="9"/>
        <v>0.34146919431279632</v>
      </c>
      <c r="P9">
        <f t="shared" si="10"/>
        <v>24.585781990521333</v>
      </c>
      <c r="Q9">
        <f t="shared" si="11"/>
        <v>2458.5781990521332</v>
      </c>
      <c r="R9">
        <f t="shared" si="12"/>
        <v>136.07999999999998</v>
      </c>
    </row>
    <row r="10" spans="1:18" x14ac:dyDescent="0.25">
      <c r="A10" t="s">
        <v>20</v>
      </c>
      <c r="B10">
        <v>0.96</v>
      </c>
      <c r="C10">
        <v>0.55000000000000004</v>
      </c>
      <c r="D10">
        <v>1.39</v>
      </c>
      <c r="E10">
        <v>0.99</v>
      </c>
      <c r="F10">
        <v>200</v>
      </c>
      <c r="G10" s="1">
        <f t="shared" si="5"/>
        <v>25.721981656381065</v>
      </c>
      <c r="H10" s="1">
        <f t="shared" si="6"/>
        <v>39.23117430226435</v>
      </c>
      <c r="I10">
        <f t="shared" si="1"/>
        <v>0.93838862559241709</v>
      </c>
      <c r="J10">
        <f t="shared" si="2"/>
        <v>0.38838862559241705</v>
      </c>
      <c r="K10">
        <f t="shared" si="3"/>
        <v>77.677725118483409</v>
      </c>
      <c r="L10">
        <f t="shared" si="7"/>
        <v>7767.7725118483413</v>
      </c>
      <c r="M10">
        <f t="shared" si="4"/>
        <v>198</v>
      </c>
      <c r="N10">
        <f t="shared" si="8"/>
        <v>1.3175355450236967</v>
      </c>
      <c r="O10">
        <f t="shared" si="9"/>
        <v>0.35753554502369678</v>
      </c>
      <c r="P10">
        <f t="shared" si="10"/>
        <v>71.507109004739362</v>
      </c>
      <c r="Q10">
        <f t="shared" si="11"/>
        <v>7150.7109004739359</v>
      </c>
      <c r="R10">
        <f t="shared" si="12"/>
        <v>278</v>
      </c>
    </row>
    <row r="11" spans="1:18" x14ac:dyDescent="0.25">
      <c r="A11" t="s">
        <v>48</v>
      </c>
      <c r="B11">
        <v>1.99</v>
      </c>
      <c r="C11">
        <v>1.89</v>
      </c>
      <c r="D11">
        <v>3.49</v>
      </c>
      <c r="E11">
        <v>2.99</v>
      </c>
      <c r="F11">
        <v>20</v>
      </c>
      <c r="G11" s="1">
        <f t="shared" si="5"/>
        <v>37.766672551229647</v>
      </c>
      <c r="H11" s="1">
        <f t="shared" si="6"/>
        <v>31.576027516682785</v>
      </c>
      <c r="I11">
        <f t="shared" si="1"/>
        <v>2.8341232227488153</v>
      </c>
      <c r="J11">
        <f t="shared" si="2"/>
        <v>0.94412322274881544</v>
      </c>
      <c r="K11">
        <f t="shared" si="3"/>
        <v>18.882464454976308</v>
      </c>
      <c r="L11">
        <f t="shared" si="7"/>
        <v>1888.2464454976307</v>
      </c>
      <c r="M11">
        <f t="shared" si="4"/>
        <v>59.800000000000004</v>
      </c>
      <c r="N11">
        <f t="shared" si="8"/>
        <v>3.3080568720379149</v>
      </c>
      <c r="O11">
        <f t="shared" si="9"/>
        <v>1.3180568720379149</v>
      </c>
      <c r="P11">
        <f t="shared" si="10"/>
        <v>26.361137440758299</v>
      </c>
      <c r="Q11">
        <f t="shared" si="11"/>
        <v>2636.1137440758298</v>
      </c>
      <c r="R11">
        <f t="shared" si="12"/>
        <v>69.800000000000011</v>
      </c>
    </row>
    <row r="12" spans="1:18" x14ac:dyDescent="0.25">
      <c r="A12" t="s">
        <v>49</v>
      </c>
      <c r="B12">
        <v>2.4</v>
      </c>
      <c r="C12">
        <v>2.65</v>
      </c>
      <c r="D12">
        <v>3.49</v>
      </c>
      <c r="E12">
        <v>3.99</v>
      </c>
      <c r="F12">
        <v>10</v>
      </c>
      <c r="G12" s="1">
        <f t="shared" si="5"/>
        <v>26.018821548364322</v>
      </c>
      <c r="H12" s="1">
        <f t="shared" si="6"/>
        <v>28.370689757569298</v>
      </c>
      <c r="I12">
        <f t="shared" si="1"/>
        <v>3.7819905213270149</v>
      </c>
      <c r="J12">
        <f t="shared" si="2"/>
        <v>1.1319905213270149</v>
      </c>
      <c r="K12">
        <f t="shared" si="3"/>
        <v>11.31990521327015</v>
      </c>
      <c r="L12">
        <f t="shared" si="7"/>
        <v>1131.9905213270151</v>
      </c>
      <c r="M12">
        <f t="shared" si="4"/>
        <v>39.900000000000006</v>
      </c>
      <c r="N12">
        <f t="shared" si="8"/>
        <v>3.3080568720379149</v>
      </c>
      <c r="O12">
        <f t="shared" si="9"/>
        <v>0.90805687203791496</v>
      </c>
      <c r="P12">
        <f t="shared" si="10"/>
        <v>9.0805687203791496</v>
      </c>
      <c r="Q12">
        <f t="shared" si="11"/>
        <v>908.05687203791501</v>
      </c>
      <c r="R12">
        <f t="shared" si="12"/>
        <v>34.900000000000006</v>
      </c>
    </row>
    <row r="13" spans="1:18" x14ac:dyDescent="0.25">
      <c r="A13" t="s">
        <v>61</v>
      </c>
      <c r="B13">
        <v>1.45</v>
      </c>
      <c r="C13">
        <v>1.4</v>
      </c>
      <c r="D13">
        <v>1.89</v>
      </c>
      <c r="E13">
        <v>1.99</v>
      </c>
      <c r="F13">
        <v>60</v>
      </c>
      <c r="G13" s="1">
        <f t="shared" si="5"/>
        <v>18.067153138243192</v>
      </c>
      <c r="H13" s="1">
        <f t="shared" si="6"/>
        <v>24.434971063850064</v>
      </c>
      <c r="I13">
        <f t="shared" si="1"/>
        <v>1.8862559241706163</v>
      </c>
      <c r="J13">
        <f t="shared" si="2"/>
        <v>0.48625592417061636</v>
      </c>
      <c r="K13">
        <f t="shared" si="3"/>
        <v>29.175355450236982</v>
      </c>
      <c r="L13">
        <f t="shared" si="7"/>
        <v>2917.535545023698</v>
      </c>
      <c r="M13">
        <f t="shared" si="4"/>
        <v>119.4</v>
      </c>
      <c r="N13">
        <f t="shared" si="8"/>
        <v>1.7914691943127963</v>
      </c>
      <c r="O13">
        <f t="shared" si="9"/>
        <v>0.34146919431279632</v>
      </c>
      <c r="P13">
        <f t="shared" si="10"/>
        <v>20.48815165876778</v>
      </c>
      <c r="Q13">
        <f t="shared" si="11"/>
        <v>2048.8151658767779</v>
      </c>
      <c r="R13">
        <f t="shared" si="12"/>
        <v>113.39999999999999</v>
      </c>
    </row>
    <row r="14" spans="1:18" x14ac:dyDescent="0.25">
      <c r="A14" t="s">
        <v>62</v>
      </c>
      <c r="B14">
        <v>2.4900000000000002</v>
      </c>
      <c r="C14">
        <v>2.4900000000000002</v>
      </c>
      <c r="D14">
        <v>4.1900000000000004</v>
      </c>
      <c r="E14">
        <v>4.1900000000000004</v>
      </c>
      <c r="F14">
        <v>18.024000000000001</v>
      </c>
      <c r="G14" s="1">
        <f t="shared" si="5"/>
        <v>35.359522220588403</v>
      </c>
      <c r="H14" s="1">
        <f t="shared" si="6"/>
        <v>35.359522220588403</v>
      </c>
      <c r="I14">
        <f t="shared" si="1"/>
        <v>3.9715639810426548</v>
      </c>
      <c r="J14">
        <f t="shared" si="2"/>
        <v>1.4815639810426546</v>
      </c>
      <c r="K14">
        <f t="shared" si="3"/>
        <v>26.703709194312808</v>
      </c>
      <c r="L14">
        <f t="shared" si="7"/>
        <v>2670.3709194312805</v>
      </c>
      <c r="M14">
        <f t="shared" si="4"/>
        <v>75.520560000000017</v>
      </c>
      <c r="N14">
        <f t="shared" si="8"/>
        <v>3.9715639810426548</v>
      </c>
      <c r="O14">
        <f t="shared" si="9"/>
        <v>1.4815639810426546</v>
      </c>
      <c r="P14">
        <f t="shared" si="10"/>
        <v>26.703709194312808</v>
      </c>
      <c r="Q14">
        <f t="shared" si="11"/>
        <v>2670.3709194312805</v>
      </c>
      <c r="R14">
        <f t="shared" si="12"/>
        <v>75.520560000000017</v>
      </c>
    </row>
    <row r="15" spans="1:18" x14ac:dyDescent="0.25">
      <c r="A15" t="s">
        <v>63</v>
      </c>
      <c r="B15">
        <v>2.75</v>
      </c>
      <c r="C15">
        <v>2.75</v>
      </c>
      <c r="D15">
        <v>3.99</v>
      </c>
      <c r="E15">
        <v>3.99</v>
      </c>
      <c r="F15">
        <v>20.175000000000001</v>
      </c>
      <c r="G15" s="1">
        <f t="shared" si="5"/>
        <v>25.864424093408893</v>
      </c>
      <c r="H15" s="1">
        <f t="shared" si="6"/>
        <v>25.864424093408893</v>
      </c>
      <c r="I15">
        <f t="shared" si="1"/>
        <v>3.7819905213270149</v>
      </c>
      <c r="J15">
        <f t="shared" si="2"/>
        <v>1.0319905213270149</v>
      </c>
      <c r="K15">
        <f t="shared" si="3"/>
        <v>20.820408767772527</v>
      </c>
      <c r="L15">
        <f t="shared" si="7"/>
        <v>2082.0408767772528</v>
      </c>
      <c r="M15">
        <f t="shared" si="4"/>
        <v>80.498250000000013</v>
      </c>
      <c r="N15">
        <f t="shared" si="8"/>
        <v>3.7819905213270149</v>
      </c>
      <c r="O15">
        <f t="shared" si="9"/>
        <v>1.0319905213270149</v>
      </c>
      <c r="P15">
        <f t="shared" si="10"/>
        <v>20.820408767772527</v>
      </c>
      <c r="Q15">
        <f t="shared" si="11"/>
        <v>2082.0408767772528</v>
      </c>
      <c r="R15">
        <f t="shared" si="12"/>
        <v>80.498250000000013</v>
      </c>
    </row>
    <row r="16" spans="1:18" x14ac:dyDescent="0.25">
      <c r="A16" t="s">
        <v>51</v>
      </c>
      <c r="B16">
        <v>2.95</v>
      </c>
      <c r="C16">
        <v>2.6</v>
      </c>
      <c r="D16">
        <v>4.49</v>
      </c>
      <c r="E16">
        <v>4.99</v>
      </c>
      <c r="F16">
        <v>5</v>
      </c>
      <c r="G16" s="1">
        <f t="shared" si="5"/>
        <v>29.085170837775369</v>
      </c>
      <c r="H16" s="1">
        <f t="shared" si="6"/>
        <v>42.682521440986235</v>
      </c>
      <c r="I16">
        <f t="shared" si="1"/>
        <v>4.7298578199052139</v>
      </c>
      <c r="J16">
        <f t="shared" si="2"/>
        <v>2.1298578199052138</v>
      </c>
      <c r="K16">
        <f t="shared" si="3"/>
        <v>10.649289099526069</v>
      </c>
      <c r="L16">
        <f t="shared" si="7"/>
        <v>1064.9289099526068</v>
      </c>
      <c r="M16">
        <f t="shared" si="4"/>
        <v>24.950000000000003</v>
      </c>
      <c r="N16">
        <f t="shared" si="8"/>
        <v>4.2559241706161144</v>
      </c>
      <c r="O16">
        <f t="shared" si="9"/>
        <v>1.3059241706161142</v>
      </c>
      <c r="P16">
        <f t="shared" si="10"/>
        <v>6.5296208530805711</v>
      </c>
      <c r="Q16">
        <f t="shared" si="11"/>
        <v>652.96208530805711</v>
      </c>
      <c r="R16">
        <f t="shared" si="12"/>
        <v>22.450000000000003</v>
      </c>
    </row>
    <row r="17" spans="1:18" x14ac:dyDescent="0.25">
      <c r="A17" t="s">
        <v>64</v>
      </c>
      <c r="B17">
        <v>2.4900000000000002</v>
      </c>
      <c r="C17">
        <v>2.4900000000000002</v>
      </c>
      <c r="D17">
        <v>4.1900000000000004</v>
      </c>
      <c r="E17">
        <v>4.1900000000000004</v>
      </c>
      <c r="F17">
        <v>26.6</v>
      </c>
      <c r="G17" s="1">
        <f t="shared" si="5"/>
        <v>35.35952222058841</v>
      </c>
      <c r="H17" s="1">
        <f t="shared" si="6"/>
        <v>35.35952222058841</v>
      </c>
      <c r="I17">
        <f t="shared" si="1"/>
        <v>3.9715639810426548</v>
      </c>
      <c r="J17">
        <f t="shared" si="2"/>
        <v>1.4815639810426546</v>
      </c>
      <c r="K17">
        <f t="shared" si="3"/>
        <v>39.409601895734617</v>
      </c>
      <c r="L17">
        <f t="shared" si="7"/>
        <v>3940.9601895734618</v>
      </c>
      <c r="M17">
        <f t="shared" si="4"/>
        <v>111.45400000000002</v>
      </c>
      <c r="N17">
        <f t="shared" si="8"/>
        <v>3.9715639810426548</v>
      </c>
      <c r="O17">
        <f t="shared" si="9"/>
        <v>1.4815639810426546</v>
      </c>
      <c r="P17">
        <f t="shared" si="10"/>
        <v>39.409601895734617</v>
      </c>
      <c r="Q17">
        <f t="shared" si="11"/>
        <v>3940.9601895734618</v>
      </c>
      <c r="R17">
        <f t="shared" si="12"/>
        <v>111.45400000000002</v>
      </c>
    </row>
    <row r="18" spans="1:18" x14ac:dyDescent="0.25">
      <c r="A18" t="s">
        <v>15</v>
      </c>
      <c r="B18">
        <v>1.45</v>
      </c>
      <c r="C18">
        <v>1.4</v>
      </c>
      <c r="D18">
        <v>1.99</v>
      </c>
      <c r="E18">
        <v>1.99</v>
      </c>
      <c r="F18">
        <v>72</v>
      </c>
      <c r="G18" s="1">
        <f t="shared" si="5"/>
        <v>21.922408249779714</v>
      </c>
      <c r="H18" s="1">
        <f t="shared" si="6"/>
        <v>24.434971063850067</v>
      </c>
      <c r="I18">
        <f t="shared" si="1"/>
        <v>1.8862559241706163</v>
      </c>
      <c r="J18">
        <f t="shared" si="2"/>
        <v>0.48625592417061636</v>
      </c>
      <c r="K18">
        <f t="shared" si="3"/>
        <v>35.010426540284378</v>
      </c>
      <c r="L18">
        <f t="shared" si="7"/>
        <v>3501.0426540284379</v>
      </c>
      <c r="M18">
        <f t="shared" si="4"/>
        <v>143.28</v>
      </c>
      <c r="N18">
        <f t="shared" si="8"/>
        <v>1.8862559241706163</v>
      </c>
      <c r="O18">
        <f t="shared" si="9"/>
        <v>0.43625592417061632</v>
      </c>
      <c r="P18">
        <f t="shared" si="10"/>
        <v>31.410426540284377</v>
      </c>
      <c r="Q18">
        <f t="shared" si="11"/>
        <v>3141.0426540284375</v>
      </c>
      <c r="R18">
        <f t="shared" si="12"/>
        <v>143.28</v>
      </c>
    </row>
    <row r="19" spans="1:18" x14ac:dyDescent="0.25">
      <c r="A19" t="s">
        <v>21</v>
      </c>
      <c r="B19">
        <v>1.45</v>
      </c>
      <c r="C19">
        <v>1.4</v>
      </c>
      <c r="D19">
        <v>1.89</v>
      </c>
      <c r="E19">
        <v>1.99</v>
      </c>
      <c r="F19">
        <v>36</v>
      </c>
      <c r="G19" s="1">
        <f t="shared" si="5"/>
        <v>18.067153138243192</v>
      </c>
      <c r="H19" s="1">
        <f t="shared" si="6"/>
        <v>24.434971063850067</v>
      </c>
      <c r="I19">
        <f t="shared" si="1"/>
        <v>1.8862559241706163</v>
      </c>
      <c r="J19">
        <f t="shared" si="2"/>
        <v>0.48625592417061636</v>
      </c>
      <c r="K19">
        <f t="shared" si="3"/>
        <v>17.505213270142189</v>
      </c>
      <c r="L19">
        <f t="shared" si="7"/>
        <v>1750.521327014219</v>
      </c>
      <c r="M19">
        <f t="shared" si="4"/>
        <v>71.64</v>
      </c>
      <c r="N19">
        <f t="shared" si="8"/>
        <v>1.7914691943127963</v>
      </c>
      <c r="O19">
        <f t="shared" si="9"/>
        <v>0.34146919431279632</v>
      </c>
      <c r="P19">
        <f t="shared" si="10"/>
        <v>12.292890995260667</v>
      </c>
      <c r="Q19">
        <f t="shared" si="11"/>
        <v>1229.2890995260666</v>
      </c>
      <c r="R19">
        <f t="shared" si="12"/>
        <v>68.039999999999992</v>
      </c>
    </row>
    <row r="20" spans="1:18" x14ac:dyDescent="0.25">
      <c r="A20" t="s">
        <v>18</v>
      </c>
      <c r="B20">
        <v>1.05</v>
      </c>
      <c r="C20">
        <v>0.95</v>
      </c>
      <c r="D20">
        <v>1.59</v>
      </c>
      <c r="E20">
        <v>1.49</v>
      </c>
      <c r="F20">
        <v>72</v>
      </c>
      <c r="G20" s="1">
        <f t="shared" si="5"/>
        <v>28.748994008763315</v>
      </c>
      <c r="H20" s="1">
        <f t="shared" si="6"/>
        <v>31.028340596074955</v>
      </c>
      <c r="I20">
        <f t="shared" si="1"/>
        <v>1.4123222748815167</v>
      </c>
      <c r="J20">
        <f t="shared" si="2"/>
        <v>0.46232227488151678</v>
      </c>
      <c r="K20">
        <f t="shared" si="3"/>
        <v>33.28720379146921</v>
      </c>
      <c r="L20">
        <f t="shared" si="7"/>
        <v>3328.720379146921</v>
      </c>
      <c r="M20">
        <f t="shared" si="4"/>
        <v>107.28</v>
      </c>
      <c r="N20">
        <f t="shared" si="8"/>
        <v>1.5071090047393367</v>
      </c>
      <c r="O20">
        <f t="shared" si="9"/>
        <v>0.45710900473933669</v>
      </c>
      <c r="P20">
        <f t="shared" si="10"/>
        <v>32.911848341232243</v>
      </c>
      <c r="Q20">
        <f t="shared" si="11"/>
        <v>3291.1848341232244</v>
      </c>
      <c r="R20">
        <f t="shared" si="12"/>
        <v>114.48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631" priority="188" operator="lessThan">
      <formula>$C$4</formula>
    </cfRule>
  </conditionalFormatting>
  <conditionalFormatting sqref="C4">
    <cfRule type="cellIs" dxfId="2630" priority="187" operator="lessThan">
      <formula>$B$4</formula>
    </cfRule>
  </conditionalFormatting>
  <conditionalFormatting sqref="B5">
    <cfRule type="cellIs" dxfId="2629" priority="186" operator="lessThan">
      <formula>$C$5</formula>
    </cfRule>
  </conditionalFormatting>
  <conditionalFormatting sqref="C5">
    <cfRule type="cellIs" dxfId="2628" priority="185" operator="lessThan">
      <formula>$B$5</formula>
    </cfRule>
  </conditionalFormatting>
  <conditionalFormatting sqref="B6">
    <cfRule type="cellIs" dxfId="2627" priority="184" operator="lessThan">
      <formula>$C$6</formula>
    </cfRule>
  </conditionalFormatting>
  <conditionalFormatting sqref="C6">
    <cfRule type="cellIs" dxfId="2626" priority="183" operator="lessThan">
      <formula>$B$6</formula>
    </cfRule>
  </conditionalFormatting>
  <conditionalFormatting sqref="B7">
    <cfRule type="cellIs" dxfId="2625" priority="182" operator="lessThan">
      <formula>$C$7</formula>
    </cfRule>
  </conditionalFormatting>
  <conditionalFormatting sqref="C7">
    <cfRule type="cellIs" dxfId="2624" priority="181" operator="lessThan">
      <formula>$B$7</formula>
    </cfRule>
  </conditionalFormatting>
  <conditionalFormatting sqref="B8">
    <cfRule type="cellIs" dxfId="2623" priority="180" operator="lessThan">
      <formula>$C$8</formula>
    </cfRule>
  </conditionalFormatting>
  <conditionalFormatting sqref="C8">
    <cfRule type="cellIs" dxfId="2622" priority="179" operator="lessThan">
      <formula>$B$8</formula>
    </cfRule>
  </conditionalFormatting>
  <conditionalFormatting sqref="B9">
    <cfRule type="cellIs" dxfId="2621" priority="178" operator="lessThan">
      <formula>$C$9</formula>
    </cfRule>
  </conditionalFormatting>
  <conditionalFormatting sqref="C9">
    <cfRule type="cellIs" dxfId="2620" priority="177" operator="lessThan">
      <formula>$B$9</formula>
    </cfRule>
  </conditionalFormatting>
  <conditionalFormatting sqref="B10">
    <cfRule type="cellIs" dxfId="2619" priority="176" operator="lessThan">
      <formula>$C$10</formula>
    </cfRule>
  </conditionalFormatting>
  <conditionalFormatting sqref="C10">
    <cfRule type="cellIs" dxfId="2618" priority="175" operator="lessThan">
      <formula>$B$10</formula>
    </cfRule>
  </conditionalFormatting>
  <conditionalFormatting sqref="B11">
    <cfRule type="cellIs" dxfId="2617" priority="174" operator="lessThan">
      <formula>$C$11</formula>
    </cfRule>
  </conditionalFormatting>
  <conditionalFormatting sqref="C11">
    <cfRule type="cellIs" dxfId="2616" priority="173" operator="lessThan">
      <formula>$B$11</formula>
    </cfRule>
  </conditionalFormatting>
  <conditionalFormatting sqref="B12">
    <cfRule type="cellIs" dxfId="2615" priority="172" operator="lessThan">
      <formula>$C$12</formula>
    </cfRule>
  </conditionalFormatting>
  <conditionalFormatting sqref="C12">
    <cfRule type="cellIs" dxfId="2614" priority="171" operator="lessThan">
      <formula>$B$12</formula>
    </cfRule>
  </conditionalFormatting>
  <conditionalFormatting sqref="B13">
    <cfRule type="cellIs" dxfId="2613" priority="170" operator="lessThan">
      <formula>$C$13</formula>
    </cfRule>
  </conditionalFormatting>
  <conditionalFormatting sqref="C13">
    <cfRule type="cellIs" dxfId="2612" priority="169" operator="lessThan">
      <formula>$B$13</formula>
    </cfRule>
  </conditionalFormatting>
  <conditionalFormatting sqref="B14">
    <cfRule type="cellIs" dxfId="2611" priority="168" operator="lessThan">
      <formula>$C$14</formula>
    </cfRule>
  </conditionalFormatting>
  <conditionalFormatting sqref="C14">
    <cfRule type="cellIs" dxfId="2610" priority="167" operator="lessThan">
      <formula>$B$14</formula>
    </cfRule>
  </conditionalFormatting>
  <conditionalFormatting sqref="B15">
    <cfRule type="cellIs" dxfId="2609" priority="166" operator="lessThan">
      <formula>$C$15</formula>
    </cfRule>
  </conditionalFormatting>
  <conditionalFormatting sqref="C15">
    <cfRule type="cellIs" dxfId="2608" priority="165" operator="lessThan">
      <formula>$B$15</formula>
    </cfRule>
  </conditionalFormatting>
  <conditionalFormatting sqref="B16">
    <cfRule type="cellIs" dxfId="2607" priority="164" operator="lessThan">
      <formula>$C$16</formula>
    </cfRule>
  </conditionalFormatting>
  <conditionalFormatting sqref="C16">
    <cfRule type="cellIs" dxfId="2606" priority="163" operator="lessThan">
      <formula>$B$16</formula>
    </cfRule>
  </conditionalFormatting>
  <conditionalFormatting sqref="B17">
    <cfRule type="cellIs" dxfId="2605" priority="162" operator="lessThan">
      <formula>$C$17</formula>
    </cfRule>
  </conditionalFormatting>
  <conditionalFormatting sqref="C17">
    <cfRule type="cellIs" dxfId="2604" priority="161" operator="lessThan">
      <formula>$B$17</formula>
    </cfRule>
  </conditionalFormatting>
  <conditionalFormatting sqref="B18">
    <cfRule type="cellIs" dxfId="2603" priority="160" operator="lessThan">
      <formula>$C$18</formula>
    </cfRule>
  </conditionalFormatting>
  <conditionalFormatting sqref="C18">
    <cfRule type="cellIs" dxfId="2602" priority="159" operator="lessThan">
      <formula>$B$18</formula>
    </cfRule>
  </conditionalFormatting>
  <conditionalFormatting sqref="C19">
    <cfRule type="cellIs" dxfId="2601" priority="158" operator="lessThan">
      <formula>$B$19</formula>
    </cfRule>
  </conditionalFormatting>
  <conditionalFormatting sqref="B19">
    <cfRule type="cellIs" dxfId="2600" priority="157" operator="lessThan">
      <formula>$C$19</formula>
    </cfRule>
  </conditionalFormatting>
  <conditionalFormatting sqref="B20">
    <cfRule type="cellIs" dxfId="2599" priority="156" operator="lessThan">
      <formula>$C$20</formula>
    </cfRule>
  </conditionalFormatting>
  <conditionalFormatting sqref="C20">
    <cfRule type="cellIs" dxfId="2598" priority="155" operator="lessThan">
      <formula>$B$20</formula>
    </cfRule>
  </conditionalFormatting>
  <conditionalFormatting sqref="B21">
    <cfRule type="cellIs" dxfId="2597" priority="154" operator="lessThan">
      <formula>$C$21</formula>
    </cfRule>
  </conditionalFormatting>
  <conditionalFormatting sqref="C21">
    <cfRule type="cellIs" dxfId="2596" priority="153" operator="lessThan">
      <formula>$B$21</formula>
    </cfRule>
  </conditionalFormatting>
  <conditionalFormatting sqref="B22">
    <cfRule type="cellIs" dxfId="2595" priority="152" operator="lessThan">
      <formula>$C$22</formula>
    </cfRule>
  </conditionalFormatting>
  <conditionalFormatting sqref="C22">
    <cfRule type="cellIs" dxfId="2594" priority="151" operator="lessThan">
      <formula>$B$22</formula>
    </cfRule>
  </conditionalFormatting>
  <conditionalFormatting sqref="B23">
    <cfRule type="cellIs" dxfId="2593" priority="150" operator="lessThan">
      <formula>$C$23</formula>
    </cfRule>
  </conditionalFormatting>
  <conditionalFormatting sqref="C23">
    <cfRule type="cellIs" dxfId="2592" priority="149" operator="lessThan">
      <formula>$B$23</formula>
    </cfRule>
  </conditionalFormatting>
  <conditionalFormatting sqref="B24">
    <cfRule type="cellIs" dxfId="2591" priority="148" operator="lessThan">
      <formula>$C$24</formula>
    </cfRule>
  </conditionalFormatting>
  <conditionalFormatting sqref="C24">
    <cfRule type="cellIs" dxfId="2590" priority="147" operator="lessThan">
      <formula>$B$24</formula>
    </cfRule>
  </conditionalFormatting>
  <conditionalFormatting sqref="B25">
    <cfRule type="cellIs" dxfId="2589" priority="146" operator="lessThan">
      <formula>$C$25</formula>
    </cfRule>
  </conditionalFormatting>
  <conditionalFormatting sqref="C25">
    <cfRule type="cellIs" dxfId="2588" priority="145" operator="lessThan">
      <formula>$B$25</formula>
    </cfRule>
  </conditionalFormatting>
  <conditionalFormatting sqref="B26">
    <cfRule type="cellIs" dxfId="2587" priority="144" operator="lessThan">
      <formula>$C$26</formula>
    </cfRule>
  </conditionalFormatting>
  <conditionalFormatting sqref="C26">
    <cfRule type="cellIs" dxfId="2586" priority="143" operator="lessThan">
      <formula>$B$26</formula>
    </cfRule>
  </conditionalFormatting>
  <conditionalFormatting sqref="B27">
    <cfRule type="cellIs" dxfId="2585" priority="142" operator="lessThan">
      <formula>$C$27</formula>
    </cfRule>
  </conditionalFormatting>
  <conditionalFormatting sqref="C27">
    <cfRule type="cellIs" dxfId="2584" priority="141" operator="lessThan">
      <formula>$B$27</formula>
    </cfRule>
  </conditionalFormatting>
  <conditionalFormatting sqref="B28">
    <cfRule type="cellIs" dxfId="2583" priority="140" operator="lessThan">
      <formula>$C$28</formula>
    </cfRule>
  </conditionalFormatting>
  <conditionalFormatting sqref="C28">
    <cfRule type="cellIs" dxfId="2582" priority="139" operator="lessThan">
      <formula>$B$28</formula>
    </cfRule>
  </conditionalFormatting>
  <conditionalFormatting sqref="B29">
    <cfRule type="cellIs" dxfId="2581" priority="138" operator="lessThan">
      <formula>$C$29</formula>
    </cfRule>
  </conditionalFormatting>
  <conditionalFormatting sqref="C29">
    <cfRule type="cellIs" dxfId="2580" priority="137" operator="lessThan">
      <formula>$B$29</formula>
    </cfRule>
  </conditionalFormatting>
  <conditionalFormatting sqref="B30">
    <cfRule type="cellIs" dxfId="2579" priority="136" operator="lessThan">
      <formula>$C$30</formula>
    </cfRule>
  </conditionalFormatting>
  <conditionalFormatting sqref="C30">
    <cfRule type="cellIs" dxfId="2578" priority="135" operator="lessThan">
      <formula>$B$30</formula>
    </cfRule>
  </conditionalFormatting>
  <conditionalFormatting sqref="B31">
    <cfRule type="cellIs" dxfId="2577" priority="134" operator="lessThan">
      <formula>$C$31</formula>
    </cfRule>
  </conditionalFormatting>
  <conditionalFormatting sqref="C31">
    <cfRule type="cellIs" dxfId="2576" priority="133" operator="lessThan">
      <formula>$B$31</formula>
    </cfRule>
  </conditionalFormatting>
  <conditionalFormatting sqref="B32">
    <cfRule type="cellIs" dxfId="2575" priority="132" operator="lessThan">
      <formula>$C$32</formula>
    </cfRule>
  </conditionalFormatting>
  <conditionalFormatting sqref="C32">
    <cfRule type="cellIs" dxfId="2574" priority="131" operator="lessThan">
      <formula>$B$32</formula>
    </cfRule>
  </conditionalFormatting>
  <conditionalFormatting sqref="B33">
    <cfRule type="cellIs" dxfId="2573" priority="130" operator="lessThan">
      <formula>$C$33</formula>
    </cfRule>
  </conditionalFormatting>
  <conditionalFormatting sqref="C33">
    <cfRule type="cellIs" dxfId="2572" priority="129" operator="lessThan">
      <formula>$B$33</formula>
    </cfRule>
  </conditionalFormatting>
  <conditionalFormatting sqref="B34">
    <cfRule type="cellIs" dxfId="2571" priority="128" operator="lessThan">
      <formula>$C$34</formula>
    </cfRule>
  </conditionalFormatting>
  <conditionalFormatting sqref="C34">
    <cfRule type="cellIs" dxfId="2570" priority="127" operator="lessThan">
      <formula>$B$34</formula>
    </cfRule>
  </conditionalFormatting>
  <conditionalFormatting sqref="B35">
    <cfRule type="cellIs" dxfId="2569" priority="126" operator="lessThan">
      <formula>$C$35</formula>
    </cfRule>
  </conditionalFormatting>
  <conditionalFormatting sqref="C35">
    <cfRule type="cellIs" dxfId="2568" priority="125" operator="lessThan">
      <formula>$B$35</formula>
    </cfRule>
  </conditionalFormatting>
  <conditionalFormatting sqref="B36">
    <cfRule type="cellIs" dxfId="2567" priority="124" operator="lessThan">
      <formula>$C$36</formula>
    </cfRule>
  </conditionalFormatting>
  <conditionalFormatting sqref="C36">
    <cfRule type="cellIs" dxfId="2566" priority="123" operator="lessThan">
      <formula>$B$36</formula>
    </cfRule>
  </conditionalFormatting>
  <conditionalFormatting sqref="B37">
    <cfRule type="cellIs" dxfId="2565" priority="122" operator="lessThan">
      <formula>$C$37</formula>
    </cfRule>
  </conditionalFormatting>
  <conditionalFormatting sqref="C37">
    <cfRule type="cellIs" dxfId="2564" priority="121" operator="lessThan">
      <formula>$B$37</formula>
    </cfRule>
  </conditionalFormatting>
  <conditionalFormatting sqref="B38">
    <cfRule type="cellIs" dxfId="2563" priority="120" operator="lessThan">
      <formula>$C$38</formula>
    </cfRule>
  </conditionalFormatting>
  <conditionalFormatting sqref="C38">
    <cfRule type="cellIs" dxfId="2562" priority="119" operator="lessThan">
      <formula>$B$38</formula>
    </cfRule>
  </conditionalFormatting>
  <conditionalFormatting sqref="B39">
    <cfRule type="cellIs" dxfId="2561" priority="118" operator="lessThan">
      <formula>$C$39</formula>
    </cfRule>
  </conditionalFormatting>
  <conditionalFormatting sqref="C39">
    <cfRule type="cellIs" dxfId="2560" priority="117" operator="lessThan">
      <formula>$B$39</formula>
    </cfRule>
  </conditionalFormatting>
  <conditionalFormatting sqref="B40">
    <cfRule type="cellIs" dxfId="2559" priority="116" operator="lessThan">
      <formula>$C$40</formula>
    </cfRule>
  </conditionalFormatting>
  <conditionalFormatting sqref="C40">
    <cfRule type="cellIs" dxfId="2558" priority="115" operator="lessThan">
      <formula>$B$40</formula>
    </cfRule>
  </conditionalFormatting>
  <conditionalFormatting sqref="B41">
    <cfRule type="cellIs" dxfId="2557" priority="114" operator="lessThan">
      <formula>$C$41</formula>
    </cfRule>
  </conditionalFormatting>
  <conditionalFormatting sqref="C41">
    <cfRule type="cellIs" dxfId="2556" priority="113" operator="lessThan">
      <formula>$B$41</formula>
    </cfRule>
  </conditionalFormatting>
  <conditionalFormatting sqref="B42">
    <cfRule type="cellIs" dxfId="2555" priority="112" operator="lessThan">
      <formula>$C$42</formula>
    </cfRule>
  </conditionalFormatting>
  <conditionalFormatting sqref="C42">
    <cfRule type="cellIs" dxfId="2554" priority="111" operator="lessThan">
      <formula>$B$42</formula>
    </cfRule>
  </conditionalFormatting>
  <conditionalFormatting sqref="B43">
    <cfRule type="cellIs" dxfId="2553" priority="110" operator="lessThan">
      <formula>$C$43</formula>
    </cfRule>
  </conditionalFormatting>
  <conditionalFormatting sqref="C43">
    <cfRule type="cellIs" dxfId="2552" priority="109" operator="lessThan">
      <formula>$B$43</formula>
    </cfRule>
  </conditionalFormatting>
  <conditionalFormatting sqref="B44">
    <cfRule type="cellIs" dxfId="2551" priority="108" operator="lessThan">
      <formula>$C$44</formula>
    </cfRule>
  </conditionalFormatting>
  <conditionalFormatting sqref="C44">
    <cfRule type="cellIs" dxfId="2550" priority="107" operator="lessThan">
      <formula>$B$44</formula>
    </cfRule>
  </conditionalFormatting>
  <conditionalFormatting sqref="B45">
    <cfRule type="cellIs" dxfId="2549" priority="106" operator="lessThan">
      <formula>$C$45</formula>
    </cfRule>
  </conditionalFormatting>
  <conditionalFormatting sqref="C45">
    <cfRule type="cellIs" dxfId="2548" priority="105" operator="lessThan">
      <formula>$B$45</formula>
    </cfRule>
  </conditionalFormatting>
  <conditionalFormatting sqref="B46">
    <cfRule type="cellIs" dxfId="2547" priority="104" operator="lessThan">
      <formula>$C$46</formula>
    </cfRule>
  </conditionalFormatting>
  <conditionalFormatting sqref="C46">
    <cfRule type="cellIs" dxfId="2546" priority="103" operator="lessThan">
      <formula>$B$46</formula>
    </cfRule>
  </conditionalFormatting>
  <conditionalFormatting sqref="B47">
    <cfRule type="cellIs" dxfId="2545" priority="102" operator="lessThan">
      <formula>$C$47</formula>
    </cfRule>
  </conditionalFormatting>
  <conditionalFormatting sqref="C47">
    <cfRule type="cellIs" dxfId="2544" priority="101" operator="lessThan">
      <formula>$B$47</formula>
    </cfRule>
  </conditionalFormatting>
  <conditionalFormatting sqref="B48">
    <cfRule type="cellIs" dxfId="2543" priority="100" operator="lessThan">
      <formula>$C$48</formula>
    </cfRule>
  </conditionalFormatting>
  <conditionalFormatting sqref="C48">
    <cfRule type="cellIs" dxfId="2542" priority="99" operator="lessThan">
      <formula>$B$48</formula>
    </cfRule>
  </conditionalFormatting>
  <conditionalFormatting sqref="B49">
    <cfRule type="cellIs" dxfId="2541" priority="98" operator="lessThan">
      <formula>$C$49</formula>
    </cfRule>
  </conditionalFormatting>
  <conditionalFormatting sqref="C49">
    <cfRule type="cellIs" dxfId="2540" priority="97" operator="lessThan">
      <formula>$B$49</formula>
    </cfRule>
  </conditionalFormatting>
  <conditionalFormatting sqref="B50">
    <cfRule type="cellIs" dxfId="2539" priority="96" operator="lessThan">
      <formula>$C$50</formula>
    </cfRule>
  </conditionalFormatting>
  <conditionalFormatting sqref="C50">
    <cfRule type="cellIs" dxfId="2538" priority="95" operator="lessThan">
      <formula>$B$50</formula>
    </cfRule>
  </conditionalFormatting>
  <conditionalFormatting sqref="D4">
    <cfRule type="cellIs" dxfId="2537" priority="94" operator="lessThan">
      <formula>$E$4</formula>
    </cfRule>
  </conditionalFormatting>
  <conditionalFormatting sqref="E4">
    <cfRule type="cellIs" dxfId="2536" priority="93" operator="lessThan">
      <formula>$D$4</formula>
    </cfRule>
  </conditionalFormatting>
  <conditionalFormatting sqref="D5">
    <cfRule type="cellIs" dxfId="2535" priority="92" operator="lessThan">
      <formula>$E$5</formula>
    </cfRule>
  </conditionalFormatting>
  <conditionalFormatting sqref="E5">
    <cfRule type="cellIs" dxfId="2534" priority="91" operator="lessThan">
      <formula>$D$5</formula>
    </cfRule>
  </conditionalFormatting>
  <conditionalFormatting sqref="D6">
    <cfRule type="cellIs" dxfId="2533" priority="90" operator="lessThan">
      <formula>$E$6</formula>
    </cfRule>
  </conditionalFormatting>
  <conditionalFormatting sqref="E6">
    <cfRule type="cellIs" dxfId="2532" priority="89" operator="lessThan">
      <formula>$D$6</formula>
    </cfRule>
  </conditionalFormatting>
  <conditionalFormatting sqref="D7">
    <cfRule type="cellIs" dxfId="2531" priority="88" operator="lessThan">
      <formula>$E$7</formula>
    </cfRule>
  </conditionalFormatting>
  <conditionalFormatting sqref="E7">
    <cfRule type="cellIs" dxfId="2530" priority="87" operator="lessThan">
      <formula>$D$7</formula>
    </cfRule>
  </conditionalFormatting>
  <conditionalFormatting sqref="D8">
    <cfRule type="cellIs" dxfId="2529" priority="86" operator="lessThan">
      <formula>$E$8</formula>
    </cfRule>
  </conditionalFormatting>
  <conditionalFormatting sqref="E8">
    <cfRule type="cellIs" dxfId="2528" priority="85" operator="lessThan">
      <formula>$D$8</formula>
    </cfRule>
  </conditionalFormatting>
  <conditionalFormatting sqref="D9">
    <cfRule type="cellIs" dxfId="2527" priority="84" operator="lessThan">
      <formula>$E$9</formula>
    </cfRule>
  </conditionalFormatting>
  <conditionalFormatting sqref="E9">
    <cfRule type="cellIs" dxfId="2526" priority="83" operator="lessThan">
      <formula>$D$9</formula>
    </cfRule>
  </conditionalFormatting>
  <conditionalFormatting sqref="D10">
    <cfRule type="cellIs" dxfId="2525" priority="82" operator="lessThan">
      <formula>$E$10</formula>
    </cfRule>
  </conditionalFormatting>
  <conditionalFormatting sqref="E10">
    <cfRule type="cellIs" dxfId="2524" priority="81" operator="lessThan">
      <formula>$D$10</formula>
    </cfRule>
  </conditionalFormatting>
  <conditionalFormatting sqref="D11">
    <cfRule type="cellIs" dxfId="2523" priority="80" operator="lessThan">
      <formula>$E$11</formula>
    </cfRule>
  </conditionalFormatting>
  <conditionalFormatting sqref="E11">
    <cfRule type="cellIs" dxfId="2522" priority="79" operator="lessThan">
      <formula>$D$11</formula>
    </cfRule>
  </conditionalFormatting>
  <conditionalFormatting sqref="D12">
    <cfRule type="cellIs" dxfId="2521" priority="78" operator="lessThan">
      <formula>$E$12</formula>
    </cfRule>
  </conditionalFormatting>
  <conditionalFormatting sqref="E12">
    <cfRule type="cellIs" dxfId="2520" priority="77" operator="lessThan">
      <formula>$D$12</formula>
    </cfRule>
  </conditionalFormatting>
  <conditionalFormatting sqref="D13">
    <cfRule type="cellIs" dxfId="2519" priority="76" operator="lessThan">
      <formula>$E$13</formula>
    </cfRule>
  </conditionalFormatting>
  <conditionalFormatting sqref="E13">
    <cfRule type="cellIs" dxfId="2518" priority="75" operator="lessThan">
      <formula>$D$13</formula>
    </cfRule>
  </conditionalFormatting>
  <conditionalFormatting sqref="D14">
    <cfRule type="cellIs" dxfId="2517" priority="74" operator="lessThan">
      <formula>$E$14</formula>
    </cfRule>
  </conditionalFormatting>
  <conditionalFormatting sqref="E14">
    <cfRule type="cellIs" dxfId="2516" priority="73" operator="lessThan">
      <formula>$D$14</formula>
    </cfRule>
  </conditionalFormatting>
  <conditionalFormatting sqref="D15">
    <cfRule type="cellIs" dxfId="2515" priority="72" operator="lessThan">
      <formula>$E$15</formula>
    </cfRule>
  </conditionalFormatting>
  <conditionalFormatting sqref="E15">
    <cfRule type="cellIs" dxfId="2514" priority="71" operator="lessThan">
      <formula>$D$15</formula>
    </cfRule>
  </conditionalFormatting>
  <conditionalFormatting sqref="D16">
    <cfRule type="cellIs" dxfId="2513" priority="70" operator="lessThan">
      <formula>$E$16</formula>
    </cfRule>
  </conditionalFormatting>
  <conditionalFormatting sqref="E16">
    <cfRule type="cellIs" dxfId="2512" priority="69" operator="lessThan">
      <formula>$D$16</formula>
    </cfRule>
  </conditionalFormatting>
  <conditionalFormatting sqref="D17">
    <cfRule type="cellIs" dxfId="2511" priority="68" operator="lessThan">
      <formula>$E$17</formula>
    </cfRule>
  </conditionalFormatting>
  <conditionalFormatting sqref="E17">
    <cfRule type="cellIs" dxfId="2510" priority="67" operator="lessThan">
      <formula>$D$17</formula>
    </cfRule>
  </conditionalFormatting>
  <conditionalFormatting sqref="D18">
    <cfRule type="cellIs" dxfId="2509" priority="66" operator="lessThan">
      <formula>$E$18</formula>
    </cfRule>
  </conditionalFormatting>
  <conditionalFormatting sqref="E18">
    <cfRule type="cellIs" dxfId="2508" priority="65" operator="lessThan">
      <formula>$D$18</formula>
    </cfRule>
  </conditionalFormatting>
  <conditionalFormatting sqref="D19">
    <cfRule type="cellIs" dxfId="2507" priority="64" operator="lessThan">
      <formula>$E$19</formula>
    </cfRule>
  </conditionalFormatting>
  <conditionalFormatting sqref="E19">
    <cfRule type="cellIs" dxfId="2506" priority="63" operator="lessThan">
      <formula>$D$19</formula>
    </cfRule>
  </conditionalFormatting>
  <conditionalFormatting sqref="D20">
    <cfRule type="cellIs" dxfId="2505" priority="62" operator="lessThan">
      <formula>$E$20</formula>
    </cfRule>
  </conditionalFormatting>
  <conditionalFormatting sqref="E20">
    <cfRule type="cellIs" dxfId="2504" priority="61" operator="lessThan">
      <formula>$D$20</formula>
    </cfRule>
  </conditionalFormatting>
  <conditionalFormatting sqref="D21">
    <cfRule type="cellIs" dxfId="2503" priority="60" operator="lessThan">
      <formula>$E$21</formula>
    </cfRule>
  </conditionalFormatting>
  <conditionalFormatting sqref="E21">
    <cfRule type="cellIs" dxfId="2502" priority="59" operator="lessThan">
      <formula>$D$21</formula>
    </cfRule>
  </conditionalFormatting>
  <conditionalFormatting sqref="D22">
    <cfRule type="cellIs" dxfId="2501" priority="58" operator="lessThan">
      <formula>$E$22</formula>
    </cfRule>
  </conditionalFormatting>
  <conditionalFormatting sqref="E22">
    <cfRule type="cellIs" dxfId="2500" priority="57" operator="lessThan">
      <formula>$D$22</formula>
    </cfRule>
  </conditionalFormatting>
  <conditionalFormatting sqref="D23">
    <cfRule type="cellIs" dxfId="2499" priority="56" operator="lessThan">
      <formula>$E$23</formula>
    </cfRule>
  </conditionalFormatting>
  <conditionalFormatting sqref="E23">
    <cfRule type="cellIs" dxfId="2498" priority="55" operator="lessThan">
      <formula>$D$23</formula>
    </cfRule>
  </conditionalFormatting>
  <conditionalFormatting sqref="D24">
    <cfRule type="cellIs" dxfId="2497" priority="54" operator="lessThan">
      <formula>$E$24</formula>
    </cfRule>
  </conditionalFormatting>
  <conditionalFormatting sqref="E24">
    <cfRule type="cellIs" dxfId="2496" priority="53" operator="lessThan">
      <formula>$D$24</formula>
    </cfRule>
  </conditionalFormatting>
  <conditionalFormatting sqref="D25">
    <cfRule type="cellIs" dxfId="2495" priority="52" operator="lessThan">
      <formula>$E$25</formula>
    </cfRule>
  </conditionalFormatting>
  <conditionalFormatting sqref="E25">
    <cfRule type="cellIs" dxfId="2494" priority="51" operator="lessThan">
      <formula>$D$25</formula>
    </cfRule>
  </conditionalFormatting>
  <conditionalFormatting sqref="D26">
    <cfRule type="cellIs" dxfId="2493" priority="50" operator="lessThan">
      <formula>$E$26</formula>
    </cfRule>
  </conditionalFormatting>
  <conditionalFormatting sqref="E26">
    <cfRule type="cellIs" dxfId="2492" priority="49" operator="lessThan">
      <formula>$D$26</formula>
    </cfRule>
  </conditionalFormatting>
  <conditionalFormatting sqref="D27">
    <cfRule type="cellIs" dxfId="2491" priority="48" operator="lessThan">
      <formula>$E$27</formula>
    </cfRule>
  </conditionalFormatting>
  <conditionalFormatting sqref="E27">
    <cfRule type="cellIs" dxfId="2490" priority="47" operator="lessThan">
      <formula>$D$27</formula>
    </cfRule>
  </conditionalFormatting>
  <conditionalFormatting sqref="D28">
    <cfRule type="cellIs" dxfId="2489" priority="46" operator="lessThan">
      <formula>$E$28</formula>
    </cfRule>
  </conditionalFormatting>
  <conditionalFormatting sqref="E28">
    <cfRule type="cellIs" dxfId="2488" priority="45" operator="lessThan">
      <formula>$D$28</formula>
    </cfRule>
  </conditionalFormatting>
  <conditionalFormatting sqref="D29">
    <cfRule type="cellIs" dxfId="2487" priority="44" operator="lessThan">
      <formula>$E$29</formula>
    </cfRule>
  </conditionalFormatting>
  <conditionalFormatting sqref="E29">
    <cfRule type="cellIs" dxfId="2486" priority="43" operator="lessThan">
      <formula>$D$29</formula>
    </cfRule>
  </conditionalFormatting>
  <conditionalFormatting sqref="D30">
    <cfRule type="cellIs" dxfId="2485" priority="42" operator="lessThan">
      <formula>$E$30</formula>
    </cfRule>
  </conditionalFormatting>
  <conditionalFormatting sqref="E30">
    <cfRule type="cellIs" dxfId="2484" priority="41" operator="lessThan">
      <formula>$D$30</formula>
    </cfRule>
  </conditionalFormatting>
  <conditionalFormatting sqref="D31">
    <cfRule type="cellIs" dxfId="2483" priority="40" operator="lessThan">
      <formula>$E$31</formula>
    </cfRule>
  </conditionalFormatting>
  <conditionalFormatting sqref="E31">
    <cfRule type="cellIs" dxfId="2482" priority="39" operator="lessThan">
      <formula>$D$31</formula>
    </cfRule>
  </conditionalFormatting>
  <conditionalFormatting sqref="D32">
    <cfRule type="cellIs" dxfId="2481" priority="38" operator="lessThan">
      <formula>$E$32</formula>
    </cfRule>
  </conditionalFormatting>
  <conditionalFormatting sqref="E32">
    <cfRule type="cellIs" dxfId="2480" priority="37" operator="lessThan">
      <formula>$D$32</formula>
    </cfRule>
  </conditionalFormatting>
  <conditionalFormatting sqref="D33">
    <cfRule type="cellIs" dxfId="2479" priority="36" operator="lessThan">
      <formula>$E$33</formula>
    </cfRule>
  </conditionalFormatting>
  <conditionalFormatting sqref="E33">
    <cfRule type="cellIs" dxfId="2478" priority="35" operator="lessThan">
      <formula>$D$33</formula>
    </cfRule>
  </conditionalFormatting>
  <conditionalFormatting sqref="D34">
    <cfRule type="cellIs" dxfId="2477" priority="34" operator="lessThan">
      <formula>$E$34</formula>
    </cfRule>
  </conditionalFormatting>
  <conditionalFormatting sqref="E34">
    <cfRule type="cellIs" dxfId="2476" priority="33" operator="lessThan">
      <formula>$D$34</formula>
    </cfRule>
  </conditionalFormatting>
  <conditionalFormatting sqref="D35">
    <cfRule type="cellIs" dxfId="2475" priority="32" operator="lessThan">
      <formula>$E$35</formula>
    </cfRule>
  </conditionalFormatting>
  <conditionalFormatting sqref="E35">
    <cfRule type="cellIs" dxfId="2474" priority="31" operator="lessThan">
      <formula>$D$35</formula>
    </cfRule>
  </conditionalFormatting>
  <conditionalFormatting sqref="D36">
    <cfRule type="cellIs" dxfId="2473" priority="30" operator="lessThan">
      <formula>$E$36</formula>
    </cfRule>
  </conditionalFormatting>
  <conditionalFormatting sqref="E36">
    <cfRule type="cellIs" dxfId="2472" priority="29" operator="lessThan">
      <formula>$D$36</formula>
    </cfRule>
  </conditionalFormatting>
  <conditionalFormatting sqref="D37">
    <cfRule type="cellIs" dxfId="2471" priority="28" operator="lessThan">
      <formula>$E$37</formula>
    </cfRule>
  </conditionalFormatting>
  <conditionalFormatting sqref="E37">
    <cfRule type="cellIs" dxfId="2470" priority="27" operator="lessThan">
      <formula>$D$37</formula>
    </cfRule>
  </conditionalFormatting>
  <conditionalFormatting sqref="D38">
    <cfRule type="cellIs" dxfId="2469" priority="26" operator="lessThan">
      <formula>$E$38</formula>
    </cfRule>
  </conditionalFormatting>
  <conditionalFormatting sqref="E38">
    <cfRule type="cellIs" dxfId="2468" priority="25" operator="lessThan">
      <formula>$D$38</formula>
    </cfRule>
  </conditionalFormatting>
  <conditionalFormatting sqref="D39">
    <cfRule type="cellIs" dxfId="2467" priority="24" operator="lessThan">
      <formula>$E$39</formula>
    </cfRule>
  </conditionalFormatting>
  <conditionalFormatting sqref="E39">
    <cfRule type="cellIs" dxfId="2466" priority="23" operator="lessThan">
      <formula>$D$39</formula>
    </cfRule>
  </conditionalFormatting>
  <conditionalFormatting sqref="D40">
    <cfRule type="cellIs" dxfId="2465" priority="22" operator="lessThan">
      <formula>$E$40</formula>
    </cfRule>
  </conditionalFormatting>
  <conditionalFormatting sqref="E40">
    <cfRule type="cellIs" dxfId="2464" priority="21" operator="lessThan">
      <formula>$D$40</formula>
    </cfRule>
  </conditionalFormatting>
  <conditionalFormatting sqref="D41">
    <cfRule type="cellIs" dxfId="2463" priority="20" operator="lessThan">
      <formula>$E$41</formula>
    </cfRule>
  </conditionalFormatting>
  <conditionalFormatting sqref="E41">
    <cfRule type="cellIs" dxfId="2462" priority="19" operator="lessThan">
      <formula>$D$41</formula>
    </cfRule>
  </conditionalFormatting>
  <conditionalFormatting sqref="D42">
    <cfRule type="cellIs" dxfId="2461" priority="18" operator="lessThan">
      <formula>$E$42</formula>
    </cfRule>
  </conditionalFormatting>
  <conditionalFormatting sqref="E42">
    <cfRule type="cellIs" dxfId="2460" priority="17" operator="lessThan">
      <formula>$D$42</formula>
    </cfRule>
  </conditionalFormatting>
  <conditionalFormatting sqref="D43">
    <cfRule type="cellIs" dxfId="2459" priority="16" operator="lessThan">
      <formula>$E$43</formula>
    </cfRule>
  </conditionalFormatting>
  <conditionalFormatting sqref="E43">
    <cfRule type="cellIs" dxfId="2458" priority="15" operator="lessThan">
      <formula>$D$43</formula>
    </cfRule>
  </conditionalFormatting>
  <conditionalFormatting sqref="D44">
    <cfRule type="cellIs" dxfId="2457" priority="14" operator="lessThan">
      <formula>$E$44</formula>
    </cfRule>
  </conditionalFormatting>
  <conditionalFormatting sqref="E44">
    <cfRule type="cellIs" dxfId="2456" priority="13" operator="lessThan">
      <formula>$D$44</formula>
    </cfRule>
  </conditionalFormatting>
  <conditionalFormatting sqref="D45">
    <cfRule type="cellIs" dxfId="2455" priority="12" operator="lessThan">
      <formula>$E$45</formula>
    </cfRule>
  </conditionalFormatting>
  <conditionalFormatting sqref="E45">
    <cfRule type="cellIs" dxfId="2454" priority="11" operator="lessThan">
      <formula>$D$45</formula>
    </cfRule>
  </conditionalFormatting>
  <conditionalFormatting sqref="D46">
    <cfRule type="cellIs" dxfId="2453" priority="10" operator="lessThan">
      <formula>$E$46</formula>
    </cfRule>
  </conditionalFormatting>
  <conditionalFormatting sqref="E46">
    <cfRule type="cellIs" dxfId="2452" priority="9" operator="lessThan">
      <formula>$D$46</formula>
    </cfRule>
  </conditionalFormatting>
  <conditionalFormatting sqref="D47">
    <cfRule type="cellIs" dxfId="2451" priority="8" operator="lessThan">
      <formula>$E$47</formula>
    </cfRule>
  </conditionalFormatting>
  <conditionalFormatting sqref="E47">
    <cfRule type="cellIs" dxfId="2450" priority="7" operator="lessThan">
      <formula>$D$47</formula>
    </cfRule>
  </conditionalFormatting>
  <conditionalFormatting sqref="D48">
    <cfRule type="cellIs" dxfId="2449" priority="6" operator="lessThan">
      <formula>$E$48</formula>
    </cfRule>
  </conditionalFormatting>
  <conditionalFormatting sqref="E48">
    <cfRule type="cellIs" dxfId="2448" priority="5" operator="lessThan">
      <formula>$D$48</formula>
    </cfRule>
  </conditionalFormatting>
  <conditionalFormatting sqref="D49">
    <cfRule type="cellIs" dxfId="2447" priority="4" operator="lessThan">
      <formula>$E$49</formula>
    </cfRule>
  </conditionalFormatting>
  <conditionalFormatting sqref="E49">
    <cfRule type="cellIs" dxfId="2446" priority="3" operator="lessThan">
      <formula>$D$49</formula>
    </cfRule>
  </conditionalFormatting>
  <conditionalFormatting sqref="D50">
    <cfRule type="cellIs" dxfId="2445" priority="2" operator="lessThan">
      <formula>$E$50</formula>
    </cfRule>
  </conditionalFormatting>
  <conditionalFormatting sqref="E50">
    <cfRule type="cellIs" dxfId="2444" priority="1" operator="lessThan">
      <formula>$D$50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3" sqref="D13"/>
    </sheetView>
  </sheetViews>
  <sheetFormatPr baseColWidth="10" defaultRowHeight="15" x14ac:dyDescent="0.25"/>
  <sheetData>
    <row r="1" spans="1:18" x14ac:dyDescent="0.25">
      <c r="A1" s="1"/>
      <c r="B1" s="2">
        <f>AVERAGE(B4:B38)</f>
        <v>2.0753846153846149</v>
      </c>
      <c r="C1" s="2">
        <f>AVERAGE(C4:C30)</f>
        <v>1.8292307692307697</v>
      </c>
      <c r="D1" s="2">
        <f>AVERAGE(D4:D60)</f>
        <v>2.9438461538461542</v>
      </c>
      <c r="E1" s="2">
        <f>AVERAGE(E4:E60)</f>
        <v>2.8515384615384614</v>
      </c>
      <c r="F1" s="1">
        <f>SUM(F4:F50)</f>
        <v>631.45000000000005</v>
      </c>
      <c r="G1" s="1">
        <f>D1-E1</f>
        <v>9.2307692307692868E-2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24.533003370972235</v>
      </c>
      <c r="H3" s="2">
        <f>L3/M3</f>
        <v>29.528326226461456</v>
      </c>
      <c r="I3" s="4">
        <f t="shared" ref="I3:R3" si="0">SUM(I4:I50)</f>
        <v>35.137440758293835</v>
      </c>
      <c r="J3" s="4">
        <f t="shared" si="0"/>
        <v>11.357440758293841</v>
      </c>
      <c r="K3" s="4">
        <f t="shared" si="0"/>
        <v>260.76036729857827</v>
      </c>
      <c r="L3" s="4">
        <f t="shared" si="0"/>
        <v>26076.036729857824</v>
      </c>
      <c r="M3" s="4">
        <f t="shared" si="0"/>
        <v>883.08549999999991</v>
      </c>
      <c r="N3" s="4">
        <f t="shared" si="0"/>
        <v>36.274881516587676</v>
      </c>
      <c r="O3" s="4">
        <f t="shared" si="0"/>
        <v>9.2948815165876812</v>
      </c>
      <c r="P3" s="4">
        <f t="shared" si="0"/>
        <v>225.06221563981052</v>
      </c>
      <c r="Q3" s="4">
        <f t="shared" si="0"/>
        <v>22506.221563981049</v>
      </c>
      <c r="R3" s="4">
        <f t="shared" si="0"/>
        <v>917.38549999999998</v>
      </c>
    </row>
    <row r="4" spans="1:18" x14ac:dyDescent="0.25">
      <c r="A4" t="s">
        <v>42</v>
      </c>
      <c r="B4">
        <v>2.85</v>
      </c>
      <c r="C4">
        <v>2.59</v>
      </c>
      <c r="D4">
        <v>3.99</v>
      </c>
      <c r="E4">
        <v>3.49</v>
      </c>
      <c r="F4">
        <v>10</v>
      </c>
      <c r="G4" s="1">
        <f>Q4/R4</f>
        <v>23.358158429248483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7.1805687203791502</v>
      </c>
      <c r="L4">
        <f>K4*100</f>
        <v>718.05687203791501</v>
      </c>
      <c r="M4">
        <f t="shared" ref="M4:M51" si="4">E4*F4</f>
        <v>34.900000000000006</v>
      </c>
      <c r="N4">
        <f>D4/1.055</f>
        <v>3.7819905213270149</v>
      </c>
      <c r="O4">
        <f>N4-B4</f>
        <v>0.93199052132701476</v>
      </c>
      <c r="P4">
        <f>O4*F4</f>
        <v>9.3199052132701468</v>
      </c>
      <c r="Q4">
        <f>P4*100</f>
        <v>931.99052132701468</v>
      </c>
      <c r="R4">
        <f>D4*F4</f>
        <v>39.900000000000006</v>
      </c>
    </row>
    <row r="5" spans="1:18" x14ac:dyDescent="0.25">
      <c r="A5" t="s">
        <v>46</v>
      </c>
      <c r="B5">
        <v>3.7</v>
      </c>
      <c r="C5">
        <v>2.7</v>
      </c>
      <c r="D5">
        <v>5.49</v>
      </c>
      <c r="E5">
        <v>4.99</v>
      </c>
      <c r="F5">
        <v>15</v>
      </c>
      <c r="G5" s="1">
        <f t="shared" ref="G5:G51" si="5">Q5/R5</f>
        <v>27.391465741244321</v>
      </c>
      <c r="H5" s="1">
        <f t="shared" ref="H5:H51" si="6">L5/M5</f>
        <v>40.678513424954183</v>
      </c>
      <c r="I5">
        <f t="shared" si="1"/>
        <v>4.7298578199052139</v>
      </c>
      <c r="J5">
        <f t="shared" si="2"/>
        <v>2.0298578199052137</v>
      </c>
      <c r="K5">
        <f t="shared" si="3"/>
        <v>30.447867298578206</v>
      </c>
      <c r="L5">
        <f t="shared" ref="L5:L51" si="7">K5*100</f>
        <v>3044.7867298578208</v>
      </c>
      <c r="M5">
        <f t="shared" si="4"/>
        <v>74.850000000000009</v>
      </c>
      <c r="N5">
        <f t="shared" ref="N5:N51" si="8">D5/1.055</f>
        <v>5.2037914691943135</v>
      </c>
      <c r="O5">
        <f t="shared" ref="O5:O51" si="9">N5-B5</f>
        <v>1.5037914691943133</v>
      </c>
      <c r="P5">
        <f t="shared" ref="P5:P51" si="10">O5*F5</f>
        <v>22.556872037914701</v>
      </c>
      <c r="Q5">
        <f t="shared" ref="Q5:Q51" si="11">P5*100</f>
        <v>2255.68720379147</v>
      </c>
      <c r="R5">
        <f t="shared" ref="R5:R51" si="12">D5*F5</f>
        <v>82.350000000000009</v>
      </c>
    </row>
    <row r="6" spans="1:18" x14ac:dyDescent="0.25">
      <c r="A6" t="s">
        <v>65</v>
      </c>
      <c r="B6">
        <v>4.49</v>
      </c>
      <c r="C6">
        <v>3.19</v>
      </c>
      <c r="D6">
        <v>6.49</v>
      </c>
      <c r="E6">
        <v>4.99</v>
      </c>
      <c r="F6">
        <v>5</v>
      </c>
      <c r="G6" s="1">
        <f t="shared" si="5"/>
        <v>25.603370843952419</v>
      </c>
      <c r="H6" s="1">
        <f t="shared" si="6"/>
        <v>30.858874146397071</v>
      </c>
      <c r="I6">
        <f t="shared" si="1"/>
        <v>4.7298578199052139</v>
      </c>
      <c r="J6">
        <f t="shared" si="2"/>
        <v>1.539857819905214</v>
      </c>
      <c r="K6">
        <f t="shared" si="3"/>
        <v>7.6992890995260694</v>
      </c>
      <c r="L6">
        <f t="shared" si="7"/>
        <v>769.928909952607</v>
      </c>
      <c r="M6">
        <f t="shared" si="4"/>
        <v>24.950000000000003</v>
      </c>
      <c r="N6">
        <f t="shared" si="8"/>
        <v>6.1516587677725125</v>
      </c>
      <c r="O6">
        <f t="shared" si="9"/>
        <v>1.6616587677725123</v>
      </c>
      <c r="P6">
        <f t="shared" si="10"/>
        <v>8.3082938388625607</v>
      </c>
      <c r="Q6">
        <f t="shared" si="11"/>
        <v>830.8293838862561</v>
      </c>
      <c r="R6">
        <f t="shared" si="12"/>
        <v>32.450000000000003</v>
      </c>
    </row>
    <row r="7" spans="1:18" x14ac:dyDescent="0.25">
      <c r="A7" t="s">
        <v>66</v>
      </c>
      <c r="B7">
        <v>1.45</v>
      </c>
      <c r="C7">
        <v>1.4</v>
      </c>
      <c r="D7">
        <v>1.89</v>
      </c>
      <c r="E7">
        <v>1.99</v>
      </c>
      <c r="F7">
        <v>36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17.505213270142189</v>
      </c>
      <c r="L7">
        <f t="shared" si="7"/>
        <v>1750.521327014219</v>
      </c>
      <c r="M7">
        <f t="shared" si="4"/>
        <v>71.64</v>
      </c>
      <c r="N7">
        <f t="shared" si="8"/>
        <v>1.7914691943127963</v>
      </c>
      <c r="O7">
        <f t="shared" si="9"/>
        <v>0.34146919431279632</v>
      </c>
      <c r="P7">
        <f t="shared" si="10"/>
        <v>12.292890995260667</v>
      </c>
      <c r="Q7">
        <f t="shared" si="11"/>
        <v>1229.2890995260666</v>
      </c>
      <c r="R7">
        <f t="shared" si="12"/>
        <v>68.039999999999992</v>
      </c>
    </row>
    <row r="8" spans="1:18" x14ac:dyDescent="0.25">
      <c r="A8" t="s">
        <v>27</v>
      </c>
      <c r="B8">
        <v>0.96</v>
      </c>
      <c r="C8">
        <v>0.65</v>
      </c>
      <c r="D8">
        <v>1.39</v>
      </c>
      <c r="E8">
        <v>0.99</v>
      </c>
      <c r="F8">
        <v>132</v>
      </c>
      <c r="G8" s="1">
        <f t="shared" si="5"/>
        <v>25.721981656381068</v>
      </c>
      <c r="H8" s="1">
        <f t="shared" si="6"/>
        <v>29.130164201254246</v>
      </c>
      <c r="I8">
        <f t="shared" si="1"/>
        <v>0.93838862559241709</v>
      </c>
      <c r="J8">
        <f t="shared" si="2"/>
        <v>0.28838862559241707</v>
      </c>
      <c r="K8">
        <f t="shared" si="3"/>
        <v>38.06729857819905</v>
      </c>
      <c r="L8">
        <f t="shared" si="7"/>
        <v>3806.7298578199052</v>
      </c>
      <c r="M8">
        <f t="shared" si="4"/>
        <v>130.68</v>
      </c>
      <c r="N8">
        <f t="shared" si="8"/>
        <v>1.3175355450236967</v>
      </c>
      <c r="O8">
        <f t="shared" si="9"/>
        <v>0.35753554502369678</v>
      </c>
      <c r="P8">
        <f t="shared" si="10"/>
        <v>47.194691943127978</v>
      </c>
      <c r="Q8">
        <f t="shared" si="11"/>
        <v>4719.4691943127982</v>
      </c>
      <c r="R8">
        <f t="shared" si="12"/>
        <v>183.48</v>
      </c>
    </row>
    <row r="9" spans="1:18" x14ac:dyDescent="0.25">
      <c r="A9" t="s">
        <v>49</v>
      </c>
      <c r="B9">
        <v>2.95</v>
      </c>
      <c r="C9">
        <v>2.65</v>
      </c>
      <c r="D9">
        <v>3.99</v>
      </c>
      <c r="E9">
        <v>3.99</v>
      </c>
      <c r="F9">
        <v>15</v>
      </c>
      <c r="G9" s="1">
        <f t="shared" si="5"/>
        <v>20.851892765088085</v>
      </c>
      <c r="H9" s="1">
        <f t="shared" si="6"/>
        <v>28.370689757569295</v>
      </c>
      <c r="I9">
        <f t="shared" si="1"/>
        <v>3.7819905213270149</v>
      </c>
      <c r="J9">
        <f t="shared" si="2"/>
        <v>1.1319905213270149</v>
      </c>
      <c r="K9">
        <f t="shared" si="3"/>
        <v>16.979857819905224</v>
      </c>
      <c r="L9">
        <f t="shared" si="7"/>
        <v>1697.9857819905224</v>
      </c>
      <c r="M9">
        <f t="shared" si="4"/>
        <v>59.85</v>
      </c>
      <c r="N9">
        <f t="shared" si="8"/>
        <v>3.7819905213270149</v>
      </c>
      <c r="O9">
        <f t="shared" si="9"/>
        <v>0.83199052132701468</v>
      </c>
      <c r="P9">
        <f t="shared" si="10"/>
        <v>12.47985781990522</v>
      </c>
      <c r="Q9">
        <f t="shared" si="11"/>
        <v>1247.9857819905219</v>
      </c>
      <c r="R9">
        <f t="shared" si="12"/>
        <v>59.85</v>
      </c>
    </row>
    <row r="10" spans="1:18" x14ac:dyDescent="0.25">
      <c r="A10" t="s">
        <v>61</v>
      </c>
      <c r="B10">
        <v>1.45</v>
      </c>
      <c r="C10">
        <v>1.4</v>
      </c>
      <c r="D10">
        <v>1.89</v>
      </c>
      <c r="E10">
        <v>1.99</v>
      </c>
      <c r="F10">
        <v>24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11.670142180094793</v>
      </c>
      <c r="L10">
        <f t="shared" si="7"/>
        <v>1167.0142180094792</v>
      </c>
      <c r="M10">
        <f t="shared" si="4"/>
        <v>47.76</v>
      </c>
      <c r="N10">
        <f t="shared" si="8"/>
        <v>1.7914691943127963</v>
      </c>
      <c r="O10">
        <f t="shared" si="9"/>
        <v>0.34146919431279632</v>
      </c>
      <c r="P10">
        <f t="shared" si="10"/>
        <v>8.1952606635071117</v>
      </c>
      <c r="Q10">
        <f t="shared" si="11"/>
        <v>819.52606635071118</v>
      </c>
      <c r="R10">
        <f t="shared" si="12"/>
        <v>45.36</v>
      </c>
    </row>
    <row r="11" spans="1:18" x14ac:dyDescent="0.25">
      <c r="A11" t="s">
        <v>15</v>
      </c>
      <c r="B11">
        <v>1.45</v>
      </c>
      <c r="C11">
        <v>1.4</v>
      </c>
      <c r="D11">
        <v>1.99</v>
      </c>
      <c r="E11">
        <v>1.99</v>
      </c>
      <c r="F11">
        <v>38</v>
      </c>
      <c r="G11" s="1">
        <f t="shared" si="5"/>
        <v>21.922408249779718</v>
      </c>
      <c r="H11" s="1">
        <f t="shared" si="6"/>
        <v>24.434971063850064</v>
      </c>
      <c r="I11">
        <f t="shared" si="1"/>
        <v>1.8862559241706163</v>
      </c>
      <c r="J11">
        <f t="shared" si="2"/>
        <v>0.48625592417061636</v>
      </c>
      <c r="K11">
        <f t="shared" si="3"/>
        <v>18.47772511848342</v>
      </c>
      <c r="L11">
        <f t="shared" si="7"/>
        <v>1847.772511848342</v>
      </c>
      <c r="M11">
        <f t="shared" si="4"/>
        <v>75.62</v>
      </c>
      <c r="N11">
        <f t="shared" si="8"/>
        <v>1.8862559241706163</v>
      </c>
      <c r="O11">
        <f t="shared" si="9"/>
        <v>0.43625592417061632</v>
      </c>
      <c r="P11">
        <f t="shared" si="10"/>
        <v>16.577725118483421</v>
      </c>
      <c r="Q11">
        <f t="shared" si="11"/>
        <v>1657.7725118483422</v>
      </c>
      <c r="R11">
        <f t="shared" si="12"/>
        <v>75.62</v>
      </c>
    </row>
    <row r="12" spans="1:18" x14ac:dyDescent="0.25">
      <c r="A12" t="s">
        <v>67</v>
      </c>
      <c r="B12">
        <v>2.75</v>
      </c>
      <c r="C12">
        <v>2.75</v>
      </c>
      <c r="D12">
        <v>3.99</v>
      </c>
      <c r="E12">
        <v>3.99</v>
      </c>
      <c r="F12">
        <v>13.45</v>
      </c>
      <c r="G12" s="1">
        <f t="shared" si="5"/>
        <v>25.864424093408889</v>
      </c>
      <c r="H12" s="1">
        <f t="shared" si="6"/>
        <v>25.864424093408889</v>
      </c>
      <c r="I12">
        <f t="shared" si="1"/>
        <v>3.7819905213270149</v>
      </c>
      <c r="J12">
        <f t="shared" si="2"/>
        <v>1.0319905213270149</v>
      </c>
      <c r="K12">
        <f t="shared" si="3"/>
        <v>13.880272511848348</v>
      </c>
      <c r="L12">
        <f t="shared" si="7"/>
        <v>1388.0272511848348</v>
      </c>
      <c r="M12">
        <f t="shared" si="4"/>
        <v>53.665500000000002</v>
      </c>
      <c r="N12">
        <f t="shared" si="8"/>
        <v>3.7819905213270149</v>
      </c>
      <c r="O12">
        <f t="shared" si="9"/>
        <v>1.0319905213270149</v>
      </c>
      <c r="P12">
        <f t="shared" si="10"/>
        <v>13.880272511848348</v>
      </c>
      <c r="Q12">
        <f t="shared" si="11"/>
        <v>1388.0272511848348</v>
      </c>
      <c r="R12">
        <f t="shared" si="12"/>
        <v>53.665500000000002</v>
      </c>
    </row>
    <row r="13" spans="1:18" x14ac:dyDescent="0.25">
      <c r="A13" t="s">
        <v>17</v>
      </c>
      <c r="B13">
        <v>2.95</v>
      </c>
      <c r="C13">
        <v>2.6</v>
      </c>
      <c r="D13">
        <v>4.49</v>
      </c>
      <c r="E13">
        <v>4.99</v>
      </c>
      <c r="F13">
        <v>5</v>
      </c>
      <c r="G13" s="1">
        <f t="shared" si="5"/>
        <v>29.085170837775369</v>
      </c>
      <c r="H13" s="1">
        <f t="shared" si="6"/>
        <v>42.682521440986235</v>
      </c>
      <c r="I13">
        <f t="shared" si="1"/>
        <v>4.7298578199052139</v>
      </c>
      <c r="J13">
        <f t="shared" si="2"/>
        <v>2.1298578199052138</v>
      </c>
      <c r="K13">
        <f t="shared" si="3"/>
        <v>10.649289099526069</v>
      </c>
      <c r="L13">
        <f t="shared" si="7"/>
        <v>1064.9289099526068</v>
      </c>
      <c r="M13">
        <f t="shared" si="4"/>
        <v>24.950000000000003</v>
      </c>
      <c r="N13">
        <f t="shared" si="8"/>
        <v>4.2559241706161144</v>
      </c>
      <c r="O13">
        <f t="shared" si="9"/>
        <v>1.3059241706161142</v>
      </c>
      <c r="P13">
        <f t="shared" si="10"/>
        <v>6.5296208530805711</v>
      </c>
      <c r="Q13">
        <f t="shared" si="11"/>
        <v>652.96208530805711</v>
      </c>
      <c r="R13">
        <f t="shared" si="12"/>
        <v>22.450000000000003</v>
      </c>
    </row>
    <row r="14" spans="1:18" x14ac:dyDescent="0.25">
      <c r="A14" t="s">
        <v>21</v>
      </c>
      <c r="B14">
        <v>0.85</v>
      </c>
      <c r="C14">
        <v>1.4</v>
      </c>
      <c r="D14">
        <v>0.99</v>
      </c>
      <c r="E14">
        <v>1.99</v>
      </c>
      <c r="F14">
        <v>12</v>
      </c>
      <c r="G14" s="1">
        <f t="shared" si="5"/>
        <v>8.9281439992340523</v>
      </c>
      <c r="H14" s="1">
        <f t="shared" si="6"/>
        <v>24.434971063850067</v>
      </c>
      <c r="I14">
        <f t="shared" si="1"/>
        <v>1.8862559241706163</v>
      </c>
      <c r="J14">
        <f t="shared" si="2"/>
        <v>0.48625592417061636</v>
      </c>
      <c r="K14">
        <f t="shared" si="3"/>
        <v>5.8350710900473963</v>
      </c>
      <c r="L14">
        <f t="shared" si="7"/>
        <v>583.50710900473962</v>
      </c>
      <c r="M14">
        <f t="shared" si="4"/>
        <v>23.88</v>
      </c>
      <c r="N14">
        <f t="shared" si="8"/>
        <v>0.93838862559241709</v>
      </c>
      <c r="O14">
        <f t="shared" si="9"/>
        <v>8.8388625592417114E-2</v>
      </c>
      <c r="P14">
        <f t="shared" si="10"/>
        <v>1.0606635071090054</v>
      </c>
      <c r="Q14">
        <f t="shared" si="11"/>
        <v>106.06635071090054</v>
      </c>
      <c r="R14">
        <f t="shared" si="12"/>
        <v>11.879999999999999</v>
      </c>
    </row>
    <row r="15" spans="1:18" x14ac:dyDescent="0.25">
      <c r="A15" t="s">
        <v>68</v>
      </c>
      <c r="B15">
        <v>0.33</v>
      </c>
      <c r="C15">
        <v>0.45</v>
      </c>
      <c r="D15">
        <v>0.49</v>
      </c>
      <c r="E15">
        <v>0.69</v>
      </c>
      <c r="F15">
        <v>208</v>
      </c>
      <c r="G15" s="1">
        <f t="shared" si="5"/>
        <v>27.439791082309704</v>
      </c>
      <c r="H15" s="1">
        <f t="shared" si="6"/>
        <v>29.569338553472079</v>
      </c>
      <c r="I15">
        <f t="shared" si="1"/>
        <v>0.65402843601895733</v>
      </c>
      <c r="J15">
        <f t="shared" si="2"/>
        <v>0.20402843601895732</v>
      </c>
      <c r="K15">
        <f t="shared" si="3"/>
        <v>42.437914691943121</v>
      </c>
      <c r="L15">
        <f t="shared" si="7"/>
        <v>4243.7914691943124</v>
      </c>
      <c r="M15">
        <f t="shared" si="4"/>
        <v>143.51999999999998</v>
      </c>
      <c r="N15">
        <f t="shared" si="8"/>
        <v>0.46445497630331756</v>
      </c>
      <c r="O15">
        <f t="shared" si="9"/>
        <v>0.13445497630331754</v>
      </c>
      <c r="P15">
        <f t="shared" si="10"/>
        <v>27.96663507109005</v>
      </c>
      <c r="Q15">
        <f t="shared" si="11"/>
        <v>2796.663507109005</v>
      </c>
      <c r="R15">
        <f t="shared" si="12"/>
        <v>101.92</v>
      </c>
    </row>
    <row r="16" spans="1:18" x14ac:dyDescent="0.25">
      <c r="A16" t="s">
        <v>69</v>
      </c>
      <c r="B16">
        <v>0.8</v>
      </c>
      <c r="C16">
        <v>0.6</v>
      </c>
      <c r="D16">
        <v>1.19</v>
      </c>
      <c r="E16">
        <v>0.99</v>
      </c>
      <c r="F16">
        <v>118</v>
      </c>
      <c r="G16" s="1">
        <f t="shared" si="5"/>
        <v>27.559839101517387</v>
      </c>
      <c r="H16" s="1">
        <f t="shared" si="6"/>
        <v>34.180669251759312</v>
      </c>
      <c r="I16">
        <f t="shared" si="1"/>
        <v>0.93838862559241709</v>
      </c>
      <c r="J16">
        <f t="shared" si="2"/>
        <v>0.33838862559241711</v>
      </c>
      <c r="K16">
        <f t="shared" si="3"/>
        <v>39.929857819905223</v>
      </c>
      <c r="L16">
        <f t="shared" si="7"/>
        <v>3992.9857819905224</v>
      </c>
      <c r="M16">
        <f t="shared" si="4"/>
        <v>116.82</v>
      </c>
      <c r="N16">
        <f t="shared" si="8"/>
        <v>1.127962085308057</v>
      </c>
      <c r="O16">
        <f t="shared" si="9"/>
        <v>0.32796208530805693</v>
      </c>
      <c r="P16">
        <f t="shared" si="10"/>
        <v>38.699526066350714</v>
      </c>
      <c r="Q16">
        <f t="shared" si="11"/>
        <v>3869.9526066350713</v>
      </c>
      <c r="R16">
        <f t="shared" si="12"/>
        <v>140.41999999999999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443" priority="188" operator="lessThan">
      <formula>$C$4</formula>
    </cfRule>
  </conditionalFormatting>
  <conditionalFormatting sqref="C4">
    <cfRule type="cellIs" dxfId="2442" priority="187" operator="lessThan">
      <formula>$B$4</formula>
    </cfRule>
  </conditionalFormatting>
  <conditionalFormatting sqref="B5">
    <cfRule type="cellIs" dxfId="2441" priority="186" operator="lessThan">
      <formula>$C$5</formula>
    </cfRule>
  </conditionalFormatting>
  <conditionalFormatting sqref="C5">
    <cfRule type="cellIs" dxfId="2440" priority="185" operator="lessThan">
      <formula>$B$5</formula>
    </cfRule>
  </conditionalFormatting>
  <conditionalFormatting sqref="B6">
    <cfRule type="cellIs" dxfId="2439" priority="184" operator="lessThan">
      <formula>$C$6</formula>
    </cfRule>
  </conditionalFormatting>
  <conditionalFormatting sqref="C6">
    <cfRule type="cellIs" dxfId="2438" priority="183" operator="lessThan">
      <formula>$B$6</formula>
    </cfRule>
  </conditionalFormatting>
  <conditionalFormatting sqref="B7">
    <cfRule type="cellIs" dxfId="2437" priority="182" operator="lessThan">
      <formula>$C$7</formula>
    </cfRule>
  </conditionalFormatting>
  <conditionalFormatting sqref="C7">
    <cfRule type="cellIs" dxfId="2436" priority="181" operator="lessThan">
      <formula>$B$7</formula>
    </cfRule>
  </conditionalFormatting>
  <conditionalFormatting sqref="B8">
    <cfRule type="cellIs" dxfId="2435" priority="180" operator="lessThan">
      <formula>$C$8</formula>
    </cfRule>
  </conditionalFormatting>
  <conditionalFormatting sqref="C8">
    <cfRule type="cellIs" dxfId="2434" priority="179" operator="lessThan">
      <formula>$B$8</formula>
    </cfRule>
  </conditionalFormatting>
  <conditionalFormatting sqref="B9">
    <cfRule type="cellIs" dxfId="2433" priority="178" operator="lessThan">
      <formula>$C$9</formula>
    </cfRule>
  </conditionalFormatting>
  <conditionalFormatting sqref="C9">
    <cfRule type="cellIs" dxfId="2432" priority="177" operator="lessThan">
      <formula>$B$9</formula>
    </cfRule>
  </conditionalFormatting>
  <conditionalFormatting sqref="B10">
    <cfRule type="cellIs" dxfId="2431" priority="176" operator="lessThan">
      <formula>$C$10</formula>
    </cfRule>
  </conditionalFormatting>
  <conditionalFormatting sqref="C10">
    <cfRule type="cellIs" dxfId="2430" priority="175" operator="lessThan">
      <formula>$B$10</formula>
    </cfRule>
  </conditionalFormatting>
  <conditionalFormatting sqref="B11">
    <cfRule type="cellIs" dxfId="2429" priority="174" operator="lessThan">
      <formula>$C$11</formula>
    </cfRule>
  </conditionalFormatting>
  <conditionalFormatting sqref="C11">
    <cfRule type="cellIs" dxfId="2428" priority="173" operator="lessThan">
      <formula>$B$11</formula>
    </cfRule>
  </conditionalFormatting>
  <conditionalFormatting sqref="B12">
    <cfRule type="cellIs" dxfId="2427" priority="172" operator="lessThan">
      <formula>$C$12</formula>
    </cfRule>
  </conditionalFormatting>
  <conditionalFormatting sqref="C12">
    <cfRule type="cellIs" dxfId="2426" priority="171" operator="lessThan">
      <formula>$B$12</formula>
    </cfRule>
  </conditionalFormatting>
  <conditionalFormatting sqref="B13">
    <cfRule type="cellIs" dxfId="2425" priority="170" operator="lessThan">
      <formula>$C$13</formula>
    </cfRule>
  </conditionalFormatting>
  <conditionalFormatting sqref="C13">
    <cfRule type="cellIs" dxfId="2424" priority="169" operator="lessThan">
      <formula>$B$13</formula>
    </cfRule>
  </conditionalFormatting>
  <conditionalFormatting sqref="B14">
    <cfRule type="cellIs" dxfId="2423" priority="168" operator="lessThan">
      <formula>$C$14</formula>
    </cfRule>
  </conditionalFormatting>
  <conditionalFormatting sqref="C14">
    <cfRule type="cellIs" dxfId="2422" priority="167" operator="lessThan">
      <formula>$B$14</formula>
    </cfRule>
  </conditionalFormatting>
  <conditionalFormatting sqref="B15">
    <cfRule type="cellIs" dxfId="2421" priority="166" operator="lessThan">
      <formula>$C$15</formula>
    </cfRule>
  </conditionalFormatting>
  <conditionalFormatting sqref="C15">
    <cfRule type="cellIs" dxfId="2420" priority="165" operator="lessThan">
      <formula>$B$15</formula>
    </cfRule>
  </conditionalFormatting>
  <conditionalFormatting sqref="B16">
    <cfRule type="cellIs" dxfId="2419" priority="164" operator="lessThan">
      <formula>$C$16</formula>
    </cfRule>
  </conditionalFormatting>
  <conditionalFormatting sqref="C16">
    <cfRule type="cellIs" dxfId="2418" priority="163" operator="lessThan">
      <formula>$B$16</formula>
    </cfRule>
  </conditionalFormatting>
  <conditionalFormatting sqref="B17">
    <cfRule type="cellIs" dxfId="2417" priority="162" operator="lessThan">
      <formula>$C$17</formula>
    </cfRule>
  </conditionalFormatting>
  <conditionalFormatting sqref="C17">
    <cfRule type="cellIs" dxfId="2416" priority="161" operator="lessThan">
      <formula>$B$17</formula>
    </cfRule>
  </conditionalFormatting>
  <conditionalFormatting sqref="B18">
    <cfRule type="cellIs" dxfId="2415" priority="160" operator="lessThan">
      <formula>$C$18</formula>
    </cfRule>
  </conditionalFormatting>
  <conditionalFormatting sqref="C18">
    <cfRule type="cellIs" dxfId="2414" priority="159" operator="lessThan">
      <formula>$B$18</formula>
    </cfRule>
  </conditionalFormatting>
  <conditionalFormatting sqref="C19">
    <cfRule type="cellIs" dxfId="2413" priority="158" operator="lessThan">
      <formula>$B$19</formula>
    </cfRule>
  </conditionalFormatting>
  <conditionalFormatting sqref="B19">
    <cfRule type="cellIs" dxfId="2412" priority="157" operator="lessThan">
      <formula>$C$19</formula>
    </cfRule>
  </conditionalFormatting>
  <conditionalFormatting sqref="B20">
    <cfRule type="cellIs" dxfId="2411" priority="156" operator="lessThan">
      <formula>$C$20</formula>
    </cfRule>
  </conditionalFormatting>
  <conditionalFormatting sqref="C20">
    <cfRule type="cellIs" dxfId="2410" priority="155" operator="lessThan">
      <formula>$B$20</formula>
    </cfRule>
  </conditionalFormatting>
  <conditionalFormatting sqref="B21">
    <cfRule type="cellIs" dxfId="2409" priority="154" operator="lessThan">
      <formula>$C$21</formula>
    </cfRule>
  </conditionalFormatting>
  <conditionalFormatting sqref="C21">
    <cfRule type="cellIs" dxfId="2408" priority="153" operator="lessThan">
      <formula>$B$21</formula>
    </cfRule>
  </conditionalFormatting>
  <conditionalFormatting sqref="B22">
    <cfRule type="cellIs" dxfId="2407" priority="152" operator="lessThan">
      <formula>$C$22</formula>
    </cfRule>
  </conditionalFormatting>
  <conditionalFormatting sqref="C22">
    <cfRule type="cellIs" dxfId="2406" priority="151" operator="lessThan">
      <formula>$B$22</formula>
    </cfRule>
  </conditionalFormatting>
  <conditionalFormatting sqref="B23">
    <cfRule type="cellIs" dxfId="2405" priority="150" operator="lessThan">
      <formula>$C$23</formula>
    </cfRule>
  </conditionalFormatting>
  <conditionalFormatting sqref="C23">
    <cfRule type="cellIs" dxfId="2404" priority="149" operator="lessThan">
      <formula>$B$23</formula>
    </cfRule>
  </conditionalFormatting>
  <conditionalFormatting sqref="B24">
    <cfRule type="cellIs" dxfId="2403" priority="148" operator="lessThan">
      <formula>$C$24</formula>
    </cfRule>
  </conditionalFormatting>
  <conditionalFormatting sqref="C24">
    <cfRule type="cellIs" dxfId="2402" priority="147" operator="lessThan">
      <formula>$B$24</formula>
    </cfRule>
  </conditionalFormatting>
  <conditionalFormatting sqref="B25">
    <cfRule type="cellIs" dxfId="2401" priority="146" operator="lessThan">
      <formula>$C$25</formula>
    </cfRule>
  </conditionalFormatting>
  <conditionalFormatting sqref="C25">
    <cfRule type="cellIs" dxfId="2400" priority="145" operator="lessThan">
      <formula>$B$25</formula>
    </cfRule>
  </conditionalFormatting>
  <conditionalFormatting sqref="B26">
    <cfRule type="cellIs" dxfId="2399" priority="144" operator="lessThan">
      <formula>$C$26</formula>
    </cfRule>
  </conditionalFormatting>
  <conditionalFormatting sqref="C26">
    <cfRule type="cellIs" dxfId="2398" priority="143" operator="lessThan">
      <formula>$B$26</formula>
    </cfRule>
  </conditionalFormatting>
  <conditionalFormatting sqref="B27">
    <cfRule type="cellIs" dxfId="2397" priority="142" operator="lessThan">
      <formula>$C$27</formula>
    </cfRule>
  </conditionalFormatting>
  <conditionalFormatting sqref="C27">
    <cfRule type="cellIs" dxfId="2396" priority="141" operator="lessThan">
      <formula>$B$27</formula>
    </cfRule>
  </conditionalFormatting>
  <conditionalFormatting sqref="B28">
    <cfRule type="cellIs" dxfId="2395" priority="140" operator="lessThan">
      <formula>$C$28</formula>
    </cfRule>
  </conditionalFormatting>
  <conditionalFormatting sqref="C28">
    <cfRule type="cellIs" dxfId="2394" priority="139" operator="lessThan">
      <formula>$B$28</formula>
    </cfRule>
  </conditionalFormatting>
  <conditionalFormatting sqref="B29">
    <cfRule type="cellIs" dxfId="2393" priority="138" operator="lessThan">
      <formula>$C$29</formula>
    </cfRule>
  </conditionalFormatting>
  <conditionalFormatting sqref="C29">
    <cfRule type="cellIs" dxfId="2392" priority="137" operator="lessThan">
      <formula>$B$29</formula>
    </cfRule>
  </conditionalFormatting>
  <conditionalFormatting sqref="B30">
    <cfRule type="cellIs" dxfId="2391" priority="136" operator="lessThan">
      <formula>$C$30</formula>
    </cfRule>
  </conditionalFormatting>
  <conditionalFormatting sqref="C30">
    <cfRule type="cellIs" dxfId="2390" priority="135" operator="lessThan">
      <formula>$B$30</formula>
    </cfRule>
  </conditionalFormatting>
  <conditionalFormatting sqref="B31">
    <cfRule type="cellIs" dxfId="2389" priority="134" operator="lessThan">
      <formula>$C$31</formula>
    </cfRule>
  </conditionalFormatting>
  <conditionalFormatting sqref="C31">
    <cfRule type="cellIs" dxfId="2388" priority="133" operator="lessThan">
      <formula>$B$31</formula>
    </cfRule>
  </conditionalFormatting>
  <conditionalFormatting sqref="B32">
    <cfRule type="cellIs" dxfId="2387" priority="132" operator="lessThan">
      <formula>$C$32</formula>
    </cfRule>
  </conditionalFormatting>
  <conditionalFormatting sqref="C32">
    <cfRule type="cellIs" dxfId="2386" priority="131" operator="lessThan">
      <formula>$B$32</formula>
    </cfRule>
  </conditionalFormatting>
  <conditionalFormatting sqref="B33">
    <cfRule type="cellIs" dxfId="2385" priority="130" operator="lessThan">
      <formula>$C$33</formula>
    </cfRule>
  </conditionalFormatting>
  <conditionalFormatting sqref="C33">
    <cfRule type="cellIs" dxfId="2384" priority="129" operator="lessThan">
      <formula>$B$33</formula>
    </cfRule>
  </conditionalFormatting>
  <conditionalFormatting sqref="B34">
    <cfRule type="cellIs" dxfId="2383" priority="128" operator="lessThan">
      <formula>$C$34</formula>
    </cfRule>
  </conditionalFormatting>
  <conditionalFormatting sqref="C34">
    <cfRule type="cellIs" dxfId="2382" priority="127" operator="lessThan">
      <formula>$B$34</formula>
    </cfRule>
  </conditionalFormatting>
  <conditionalFormatting sqref="B35">
    <cfRule type="cellIs" dxfId="2381" priority="126" operator="lessThan">
      <formula>$C$35</formula>
    </cfRule>
  </conditionalFormatting>
  <conditionalFormatting sqref="C35">
    <cfRule type="cellIs" dxfId="2380" priority="125" operator="lessThan">
      <formula>$B$35</formula>
    </cfRule>
  </conditionalFormatting>
  <conditionalFormatting sqref="B36">
    <cfRule type="cellIs" dxfId="2379" priority="124" operator="lessThan">
      <formula>$C$36</formula>
    </cfRule>
  </conditionalFormatting>
  <conditionalFormatting sqref="C36">
    <cfRule type="cellIs" dxfId="2378" priority="123" operator="lessThan">
      <formula>$B$36</formula>
    </cfRule>
  </conditionalFormatting>
  <conditionalFormatting sqref="B37">
    <cfRule type="cellIs" dxfId="2377" priority="122" operator="lessThan">
      <formula>$C$37</formula>
    </cfRule>
  </conditionalFormatting>
  <conditionalFormatting sqref="C37">
    <cfRule type="cellIs" dxfId="2376" priority="121" operator="lessThan">
      <formula>$B$37</formula>
    </cfRule>
  </conditionalFormatting>
  <conditionalFormatting sqref="B38">
    <cfRule type="cellIs" dxfId="2375" priority="120" operator="lessThan">
      <formula>$C$38</formula>
    </cfRule>
  </conditionalFormatting>
  <conditionalFormatting sqref="C38">
    <cfRule type="cellIs" dxfId="2374" priority="119" operator="lessThan">
      <formula>$B$38</formula>
    </cfRule>
  </conditionalFormatting>
  <conditionalFormatting sqref="B39">
    <cfRule type="cellIs" dxfId="2373" priority="118" operator="lessThan">
      <formula>$C$39</formula>
    </cfRule>
  </conditionalFormatting>
  <conditionalFormatting sqref="C39">
    <cfRule type="cellIs" dxfId="2372" priority="117" operator="lessThan">
      <formula>$B$39</formula>
    </cfRule>
  </conditionalFormatting>
  <conditionalFormatting sqref="B40">
    <cfRule type="cellIs" dxfId="2371" priority="116" operator="lessThan">
      <formula>$C$40</formula>
    </cfRule>
  </conditionalFormatting>
  <conditionalFormatting sqref="C40">
    <cfRule type="cellIs" dxfId="2370" priority="115" operator="lessThan">
      <formula>$B$40</formula>
    </cfRule>
  </conditionalFormatting>
  <conditionalFormatting sqref="B41">
    <cfRule type="cellIs" dxfId="2369" priority="114" operator="lessThan">
      <formula>$C$41</formula>
    </cfRule>
  </conditionalFormatting>
  <conditionalFormatting sqref="C41">
    <cfRule type="cellIs" dxfId="2368" priority="113" operator="lessThan">
      <formula>$B$41</formula>
    </cfRule>
  </conditionalFormatting>
  <conditionalFormatting sqref="B42">
    <cfRule type="cellIs" dxfId="2367" priority="112" operator="lessThan">
      <formula>$C$42</formula>
    </cfRule>
  </conditionalFormatting>
  <conditionalFormatting sqref="C42">
    <cfRule type="cellIs" dxfId="2366" priority="111" operator="lessThan">
      <formula>$B$42</formula>
    </cfRule>
  </conditionalFormatting>
  <conditionalFormatting sqref="B43">
    <cfRule type="cellIs" dxfId="2365" priority="110" operator="lessThan">
      <formula>$C$43</formula>
    </cfRule>
  </conditionalFormatting>
  <conditionalFormatting sqref="C43">
    <cfRule type="cellIs" dxfId="2364" priority="109" operator="lessThan">
      <formula>$B$43</formula>
    </cfRule>
  </conditionalFormatting>
  <conditionalFormatting sqref="B44">
    <cfRule type="cellIs" dxfId="2363" priority="108" operator="lessThan">
      <formula>$C$44</formula>
    </cfRule>
  </conditionalFormatting>
  <conditionalFormatting sqref="C44">
    <cfRule type="cellIs" dxfId="2362" priority="107" operator="lessThan">
      <formula>$B$44</formula>
    </cfRule>
  </conditionalFormatting>
  <conditionalFormatting sqref="B45">
    <cfRule type="cellIs" dxfId="2361" priority="106" operator="lessThan">
      <formula>$C$45</formula>
    </cfRule>
  </conditionalFormatting>
  <conditionalFormatting sqref="C45">
    <cfRule type="cellIs" dxfId="2360" priority="105" operator="lessThan">
      <formula>$B$45</formula>
    </cfRule>
  </conditionalFormatting>
  <conditionalFormatting sqref="B46">
    <cfRule type="cellIs" dxfId="2359" priority="104" operator="lessThan">
      <formula>$C$46</formula>
    </cfRule>
  </conditionalFormatting>
  <conditionalFormatting sqref="C46">
    <cfRule type="cellIs" dxfId="2358" priority="103" operator="lessThan">
      <formula>$B$46</formula>
    </cfRule>
  </conditionalFormatting>
  <conditionalFormatting sqref="B47">
    <cfRule type="cellIs" dxfId="2357" priority="102" operator="lessThan">
      <formula>$C$47</formula>
    </cfRule>
  </conditionalFormatting>
  <conditionalFormatting sqref="C47">
    <cfRule type="cellIs" dxfId="2356" priority="101" operator="lessThan">
      <formula>$B$47</formula>
    </cfRule>
  </conditionalFormatting>
  <conditionalFormatting sqref="B48">
    <cfRule type="cellIs" dxfId="2355" priority="100" operator="lessThan">
      <formula>$C$48</formula>
    </cfRule>
  </conditionalFormatting>
  <conditionalFormatting sqref="C48">
    <cfRule type="cellIs" dxfId="2354" priority="99" operator="lessThan">
      <formula>$B$48</formula>
    </cfRule>
  </conditionalFormatting>
  <conditionalFormatting sqref="B49">
    <cfRule type="cellIs" dxfId="2353" priority="98" operator="lessThan">
      <formula>$C$49</formula>
    </cfRule>
  </conditionalFormatting>
  <conditionalFormatting sqref="C49">
    <cfRule type="cellIs" dxfId="2352" priority="97" operator="lessThan">
      <formula>$B$49</formula>
    </cfRule>
  </conditionalFormatting>
  <conditionalFormatting sqref="B50">
    <cfRule type="cellIs" dxfId="2351" priority="96" operator="lessThan">
      <formula>$C$50</formula>
    </cfRule>
  </conditionalFormatting>
  <conditionalFormatting sqref="C50">
    <cfRule type="cellIs" dxfId="2350" priority="95" operator="lessThan">
      <formula>$B$50</formula>
    </cfRule>
  </conditionalFormatting>
  <conditionalFormatting sqref="D4">
    <cfRule type="cellIs" dxfId="2349" priority="94" operator="lessThan">
      <formula>$E$4</formula>
    </cfRule>
  </conditionalFormatting>
  <conditionalFormatting sqref="E4">
    <cfRule type="cellIs" dxfId="2348" priority="93" operator="lessThan">
      <formula>$D$4</formula>
    </cfRule>
  </conditionalFormatting>
  <conditionalFormatting sqref="D5">
    <cfRule type="cellIs" dxfId="2347" priority="92" operator="lessThan">
      <formula>$E$5</formula>
    </cfRule>
  </conditionalFormatting>
  <conditionalFormatting sqref="E5">
    <cfRule type="cellIs" dxfId="2346" priority="91" operator="lessThan">
      <formula>$D$5</formula>
    </cfRule>
  </conditionalFormatting>
  <conditionalFormatting sqref="D6">
    <cfRule type="cellIs" dxfId="2345" priority="90" operator="lessThan">
      <formula>$E$6</formula>
    </cfRule>
  </conditionalFormatting>
  <conditionalFormatting sqref="E6">
    <cfRule type="cellIs" dxfId="2344" priority="89" operator="lessThan">
      <formula>$D$6</formula>
    </cfRule>
  </conditionalFormatting>
  <conditionalFormatting sqref="D7">
    <cfRule type="cellIs" dxfId="2343" priority="88" operator="lessThan">
      <formula>$E$7</formula>
    </cfRule>
  </conditionalFormatting>
  <conditionalFormatting sqref="E7">
    <cfRule type="cellIs" dxfId="2342" priority="87" operator="lessThan">
      <formula>$D$7</formula>
    </cfRule>
  </conditionalFormatting>
  <conditionalFormatting sqref="D8">
    <cfRule type="cellIs" dxfId="2341" priority="86" operator="lessThan">
      <formula>$E$8</formula>
    </cfRule>
  </conditionalFormatting>
  <conditionalFormatting sqref="E8">
    <cfRule type="cellIs" dxfId="2340" priority="85" operator="lessThan">
      <formula>$D$8</formula>
    </cfRule>
  </conditionalFormatting>
  <conditionalFormatting sqref="D9">
    <cfRule type="cellIs" dxfId="2339" priority="84" operator="lessThan">
      <formula>$E$9</formula>
    </cfRule>
  </conditionalFormatting>
  <conditionalFormatting sqref="E9">
    <cfRule type="cellIs" dxfId="2338" priority="83" operator="lessThan">
      <formula>$D$9</formula>
    </cfRule>
  </conditionalFormatting>
  <conditionalFormatting sqref="D10">
    <cfRule type="cellIs" dxfId="2337" priority="82" operator="lessThan">
      <formula>$E$10</formula>
    </cfRule>
  </conditionalFormatting>
  <conditionalFormatting sqref="E10">
    <cfRule type="cellIs" dxfId="2336" priority="81" operator="lessThan">
      <formula>$D$10</formula>
    </cfRule>
  </conditionalFormatting>
  <conditionalFormatting sqref="D11">
    <cfRule type="cellIs" dxfId="2335" priority="80" operator="lessThan">
      <formula>$E$11</formula>
    </cfRule>
  </conditionalFormatting>
  <conditionalFormatting sqref="E11">
    <cfRule type="cellIs" dxfId="2334" priority="79" operator="lessThan">
      <formula>$D$11</formula>
    </cfRule>
  </conditionalFormatting>
  <conditionalFormatting sqref="D12">
    <cfRule type="cellIs" dxfId="2333" priority="78" operator="lessThan">
      <formula>$E$12</formula>
    </cfRule>
  </conditionalFormatting>
  <conditionalFormatting sqref="E12">
    <cfRule type="cellIs" dxfId="2332" priority="77" operator="lessThan">
      <formula>$D$12</formula>
    </cfRule>
  </conditionalFormatting>
  <conditionalFormatting sqref="D13">
    <cfRule type="cellIs" dxfId="2331" priority="76" operator="lessThan">
      <formula>$E$13</formula>
    </cfRule>
  </conditionalFormatting>
  <conditionalFormatting sqref="E13">
    <cfRule type="cellIs" dxfId="2330" priority="75" operator="lessThan">
      <formula>$D$13</formula>
    </cfRule>
  </conditionalFormatting>
  <conditionalFormatting sqref="D14">
    <cfRule type="cellIs" dxfId="2329" priority="74" operator="lessThan">
      <formula>$E$14</formula>
    </cfRule>
  </conditionalFormatting>
  <conditionalFormatting sqref="E14">
    <cfRule type="cellIs" dxfId="2328" priority="73" operator="lessThan">
      <formula>$D$14</formula>
    </cfRule>
  </conditionalFormatting>
  <conditionalFormatting sqref="D15">
    <cfRule type="cellIs" dxfId="2327" priority="72" operator="lessThan">
      <formula>$E$15</formula>
    </cfRule>
  </conditionalFormatting>
  <conditionalFormatting sqref="E15">
    <cfRule type="cellIs" dxfId="2326" priority="71" operator="lessThan">
      <formula>$D$15</formula>
    </cfRule>
  </conditionalFormatting>
  <conditionalFormatting sqref="D16">
    <cfRule type="cellIs" dxfId="2325" priority="70" operator="lessThan">
      <formula>$E$16</formula>
    </cfRule>
  </conditionalFormatting>
  <conditionalFormatting sqref="E16">
    <cfRule type="cellIs" dxfId="2324" priority="69" operator="lessThan">
      <formula>$D$16</formula>
    </cfRule>
  </conditionalFormatting>
  <conditionalFormatting sqref="D17">
    <cfRule type="cellIs" dxfId="2323" priority="68" operator="lessThan">
      <formula>$E$17</formula>
    </cfRule>
  </conditionalFormatting>
  <conditionalFormatting sqref="E17">
    <cfRule type="cellIs" dxfId="2322" priority="67" operator="lessThan">
      <formula>$D$17</formula>
    </cfRule>
  </conditionalFormatting>
  <conditionalFormatting sqref="D18">
    <cfRule type="cellIs" dxfId="2321" priority="66" operator="lessThan">
      <formula>$E$18</formula>
    </cfRule>
  </conditionalFormatting>
  <conditionalFormatting sqref="E18">
    <cfRule type="cellIs" dxfId="2320" priority="65" operator="lessThan">
      <formula>$D$18</formula>
    </cfRule>
  </conditionalFormatting>
  <conditionalFormatting sqref="D19">
    <cfRule type="cellIs" dxfId="2319" priority="64" operator="lessThan">
      <formula>$E$19</formula>
    </cfRule>
  </conditionalFormatting>
  <conditionalFormatting sqref="E19">
    <cfRule type="cellIs" dxfId="2318" priority="63" operator="lessThan">
      <formula>$D$19</formula>
    </cfRule>
  </conditionalFormatting>
  <conditionalFormatting sqref="D20">
    <cfRule type="cellIs" dxfId="2317" priority="62" operator="lessThan">
      <formula>$E$20</formula>
    </cfRule>
  </conditionalFormatting>
  <conditionalFormatting sqref="E20">
    <cfRule type="cellIs" dxfId="2316" priority="61" operator="lessThan">
      <formula>$D$20</formula>
    </cfRule>
  </conditionalFormatting>
  <conditionalFormatting sqref="D21">
    <cfRule type="cellIs" dxfId="2315" priority="60" operator="lessThan">
      <formula>$E$21</formula>
    </cfRule>
  </conditionalFormatting>
  <conditionalFormatting sqref="E21">
    <cfRule type="cellIs" dxfId="2314" priority="59" operator="lessThan">
      <formula>$D$21</formula>
    </cfRule>
  </conditionalFormatting>
  <conditionalFormatting sqref="D22">
    <cfRule type="cellIs" dxfId="2313" priority="58" operator="lessThan">
      <formula>$E$22</formula>
    </cfRule>
  </conditionalFormatting>
  <conditionalFormatting sqref="E22">
    <cfRule type="cellIs" dxfId="2312" priority="57" operator="lessThan">
      <formula>$D$22</formula>
    </cfRule>
  </conditionalFormatting>
  <conditionalFormatting sqref="D23">
    <cfRule type="cellIs" dxfId="2311" priority="56" operator="lessThan">
      <formula>$E$23</formula>
    </cfRule>
  </conditionalFormatting>
  <conditionalFormatting sqref="E23">
    <cfRule type="cellIs" dxfId="2310" priority="55" operator="lessThan">
      <formula>$D$23</formula>
    </cfRule>
  </conditionalFormatting>
  <conditionalFormatting sqref="D24">
    <cfRule type="cellIs" dxfId="2309" priority="54" operator="lessThan">
      <formula>$E$24</formula>
    </cfRule>
  </conditionalFormatting>
  <conditionalFormatting sqref="E24">
    <cfRule type="cellIs" dxfId="2308" priority="53" operator="lessThan">
      <formula>$D$24</formula>
    </cfRule>
  </conditionalFormatting>
  <conditionalFormatting sqref="D25">
    <cfRule type="cellIs" dxfId="2307" priority="52" operator="lessThan">
      <formula>$E$25</formula>
    </cfRule>
  </conditionalFormatting>
  <conditionalFormatting sqref="E25">
    <cfRule type="cellIs" dxfId="2306" priority="51" operator="lessThan">
      <formula>$D$25</formula>
    </cfRule>
  </conditionalFormatting>
  <conditionalFormatting sqref="D26">
    <cfRule type="cellIs" dxfId="2305" priority="50" operator="lessThan">
      <formula>$E$26</formula>
    </cfRule>
  </conditionalFormatting>
  <conditionalFormatting sqref="E26">
    <cfRule type="cellIs" dxfId="2304" priority="49" operator="lessThan">
      <formula>$D$26</formula>
    </cfRule>
  </conditionalFormatting>
  <conditionalFormatting sqref="D27">
    <cfRule type="cellIs" dxfId="2303" priority="48" operator="lessThan">
      <formula>$E$27</formula>
    </cfRule>
  </conditionalFormatting>
  <conditionalFormatting sqref="E27">
    <cfRule type="cellIs" dxfId="2302" priority="47" operator="lessThan">
      <formula>$D$27</formula>
    </cfRule>
  </conditionalFormatting>
  <conditionalFormatting sqref="D28">
    <cfRule type="cellIs" dxfId="2301" priority="46" operator="lessThan">
      <formula>$E$28</formula>
    </cfRule>
  </conditionalFormatting>
  <conditionalFormatting sqref="E28">
    <cfRule type="cellIs" dxfId="2300" priority="45" operator="lessThan">
      <formula>$D$28</formula>
    </cfRule>
  </conditionalFormatting>
  <conditionalFormatting sqref="D29">
    <cfRule type="cellIs" dxfId="2299" priority="44" operator="lessThan">
      <formula>$E$29</formula>
    </cfRule>
  </conditionalFormatting>
  <conditionalFormatting sqref="E29">
    <cfRule type="cellIs" dxfId="2298" priority="43" operator="lessThan">
      <formula>$D$29</formula>
    </cfRule>
  </conditionalFormatting>
  <conditionalFormatting sqref="D30">
    <cfRule type="cellIs" dxfId="2297" priority="42" operator="lessThan">
      <formula>$E$30</formula>
    </cfRule>
  </conditionalFormatting>
  <conditionalFormatting sqref="E30">
    <cfRule type="cellIs" dxfId="2296" priority="41" operator="lessThan">
      <formula>$D$30</formula>
    </cfRule>
  </conditionalFormatting>
  <conditionalFormatting sqref="D31">
    <cfRule type="cellIs" dxfId="2295" priority="40" operator="lessThan">
      <formula>$E$31</formula>
    </cfRule>
  </conditionalFormatting>
  <conditionalFormatting sqref="E31">
    <cfRule type="cellIs" dxfId="2294" priority="39" operator="lessThan">
      <formula>$D$31</formula>
    </cfRule>
  </conditionalFormatting>
  <conditionalFormatting sqref="D32">
    <cfRule type="cellIs" dxfId="2293" priority="38" operator="lessThan">
      <formula>$E$32</formula>
    </cfRule>
  </conditionalFormatting>
  <conditionalFormatting sqref="E32">
    <cfRule type="cellIs" dxfId="2292" priority="37" operator="lessThan">
      <formula>$D$32</formula>
    </cfRule>
  </conditionalFormatting>
  <conditionalFormatting sqref="D33">
    <cfRule type="cellIs" dxfId="2291" priority="36" operator="lessThan">
      <formula>$E$33</formula>
    </cfRule>
  </conditionalFormatting>
  <conditionalFormatting sqref="E33">
    <cfRule type="cellIs" dxfId="2290" priority="35" operator="lessThan">
      <formula>$D$33</formula>
    </cfRule>
  </conditionalFormatting>
  <conditionalFormatting sqref="D34">
    <cfRule type="cellIs" dxfId="2289" priority="34" operator="lessThan">
      <formula>$E$34</formula>
    </cfRule>
  </conditionalFormatting>
  <conditionalFormatting sqref="E34">
    <cfRule type="cellIs" dxfId="2288" priority="33" operator="lessThan">
      <formula>$D$34</formula>
    </cfRule>
  </conditionalFormatting>
  <conditionalFormatting sqref="D35">
    <cfRule type="cellIs" dxfId="2287" priority="32" operator="lessThan">
      <formula>$E$35</formula>
    </cfRule>
  </conditionalFormatting>
  <conditionalFormatting sqref="E35">
    <cfRule type="cellIs" dxfId="2286" priority="31" operator="lessThan">
      <formula>$D$35</formula>
    </cfRule>
  </conditionalFormatting>
  <conditionalFormatting sqref="D36">
    <cfRule type="cellIs" dxfId="2285" priority="30" operator="lessThan">
      <formula>$E$36</formula>
    </cfRule>
  </conditionalFormatting>
  <conditionalFormatting sqref="E36">
    <cfRule type="cellIs" dxfId="2284" priority="29" operator="lessThan">
      <formula>$D$36</formula>
    </cfRule>
  </conditionalFormatting>
  <conditionalFormatting sqref="D37">
    <cfRule type="cellIs" dxfId="2283" priority="28" operator="lessThan">
      <formula>$E$37</formula>
    </cfRule>
  </conditionalFormatting>
  <conditionalFormatting sqref="E37">
    <cfRule type="cellIs" dxfId="2282" priority="27" operator="lessThan">
      <formula>$D$37</formula>
    </cfRule>
  </conditionalFormatting>
  <conditionalFormatting sqref="D38">
    <cfRule type="cellIs" dxfId="2281" priority="26" operator="lessThan">
      <formula>$E$38</formula>
    </cfRule>
  </conditionalFormatting>
  <conditionalFormatting sqref="E38">
    <cfRule type="cellIs" dxfId="2280" priority="25" operator="lessThan">
      <formula>$D$38</formula>
    </cfRule>
  </conditionalFormatting>
  <conditionalFormatting sqref="D39">
    <cfRule type="cellIs" dxfId="2279" priority="24" operator="lessThan">
      <formula>$E$39</formula>
    </cfRule>
  </conditionalFormatting>
  <conditionalFormatting sqref="E39">
    <cfRule type="cellIs" dxfId="2278" priority="23" operator="lessThan">
      <formula>$D$39</formula>
    </cfRule>
  </conditionalFormatting>
  <conditionalFormatting sqref="D40">
    <cfRule type="cellIs" dxfId="2277" priority="22" operator="lessThan">
      <formula>$E$40</formula>
    </cfRule>
  </conditionalFormatting>
  <conditionalFormatting sqref="E40">
    <cfRule type="cellIs" dxfId="2276" priority="21" operator="lessThan">
      <formula>$D$40</formula>
    </cfRule>
  </conditionalFormatting>
  <conditionalFormatting sqref="D41">
    <cfRule type="cellIs" dxfId="2275" priority="20" operator="lessThan">
      <formula>$E$41</formula>
    </cfRule>
  </conditionalFormatting>
  <conditionalFormatting sqref="E41">
    <cfRule type="cellIs" dxfId="2274" priority="19" operator="lessThan">
      <formula>$D$41</formula>
    </cfRule>
  </conditionalFormatting>
  <conditionalFormatting sqref="D42">
    <cfRule type="cellIs" dxfId="2273" priority="18" operator="lessThan">
      <formula>$E$42</formula>
    </cfRule>
  </conditionalFormatting>
  <conditionalFormatting sqref="E42">
    <cfRule type="cellIs" dxfId="2272" priority="17" operator="lessThan">
      <formula>$D$42</formula>
    </cfRule>
  </conditionalFormatting>
  <conditionalFormatting sqref="D43">
    <cfRule type="cellIs" dxfId="2271" priority="16" operator="lessThan">
      <formula>$E$43</formula>
    </cfRule>
  </conditionalFormatting>
  <conditionalFormatting sqref="E43">
    <cfRule type="cellIs" dxfId="2270" priority="15" operator="lessThan">
      <formula>$D$43</formula>
    </cfRule>
  </conditionalFormatting>
  <conditionalFormatting sqref="D44">
    <cfRule type="cellIs" dxfId="2269" priority="14" operator="lessThan">
      <formula>$E$44</formula>
    </cfRule>
  </conditionalFormatting>
  <conditionalFormatting sqref="E44">
    <cfRule type="cellIs" dxfId="2268" priority="13" operator="lessThan">
      <formula>$D$44</formula>
    </cfRule>
  </conditionalFormatting>
  <conditionalFormatting sqref="D45">
    <cfRule type="cellIs" dxfId="2267" priority="12" operator="lessThan">
      <formula>$E$45</formula>
    </cfRule>
  </conditionalFormatting>
  <conditionalFormatting sqref="E45">
    <cfRule type="cellIs" dxfId="2266" priority="11" operator="lessThan">
      <formula>$D$45</formula>
    </cfRule>
  </conditionalFormatting>
  <conditionalFormatting sqref="D46">
    <cfRule type="cellIs" dxfId="2265" priority="10" operator="lessThan">
      <formula>$E$46</formula>
    </cfRule>
  </conditionalFormatting>
  <conditionalFormatting sqref="E46">
    <cfRule type="cellIs" dxfId="2264" priority="9" operator="lessThan">
      <formula>$D$46</formula>
    </cfRule>
  </conditionalFormatting>
  <conditionalFormatting sqref="D47">
    <cfRule type="cellIs" dxfId="2263" priority="8" operator="lessThan">
      <formula>$E$47</formula>
    </cfRule>
  </conditionalFormatting>
  <conditionalFormatting sqref="E47">
    <cfRule type="cellIs" dxfId="2262" priority="7" operator="lessThan">
      <formula>$D$47</formula>
    </cfRule>
  </conditionalFormatting>
  <conditionalFormatting sqref="D48">
    <cfRule type="cellIs" dxfId="2261" priority="6" operator="lessThan">
      <formula>$E$48</formula>
    </cfRule>
  </conditionalFormatting>
  <conditionalFormatting sqref="E48">
    <cfRule type="cellIs" dxfId="2260" priority="5" operator="lessThan">
      <formula>$D$48</formula>
    </cfRule>
  </conditionalFormatting>
  <conditionalFormatting sqref="D49">
    <cfRule type="cellIs" dxfId="2259" priority="4" operator="lessThan">
      <formula>$E$49</formula>
    </cfRule>
  </conditionalFormatting>
  <conditionalFormatting sqref="E49">
    <cfRule type="cellIs" dxfId="2258" priority="3" operator="lessThan">
      <formula>$D$49</formula>
    </cfRule>
  </conditionalFormatting>
  <conditionalFormatting sqref="D50">
    <cfRule type="cellIs" dxfId="2257" priority="2" operator="lessThan">
      <formula>$E$50</formula>
    </cfRule>
  </conditionalFormatting>
  <conditionalFormatting sqref="E50">
    <cfRule type="cellIs" dxfId="2256" priority="1" operator="lessThan">
      <formula>$D$50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6" sqref="D16"/>
    </sheetView>
  </sheetViews>
  <sheetFormatPr baseColWidth="10" defaultRowHeight="15" x14ac:dyDescent="0.25"/>
  <sheetData>
    <row r="1" spans="1:18" x14ac:dyDescent="0.25">
      <c r="A1" s="1"/>
      <c r="B1" s="2">
        <f>AVERAGE(B4:B38)</f>
        <v>2.4800000000000004</v>
      </c>
      <c r="C1" s="2">
        <f>AVERAGE(C4:C30)</f>
        <v>2.3224999999999998</v>
      </c>
      <c r="D1" s="2">
        <f>AVERAGE(D4:D60)</f>
        <v>3.6983333333333337</v>
      </c>
      <c r="E1" s="2">
        <f>AVERAGE(E4:E60)</f>
        <v>3.5649999999999995</v>
      </c>
      <c r="F1" s="1">
        <f>SUM(F4:F50)</f>
        <v>383.69299999999998</v>
      </c>
      <c r="G1" s="1">
        <f>D1-E1</f>
        <v>0.13333333333333419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25.642394666325668</v>
      </c>
      <c r="H3" s="2">
        <f>L3/M3</f>
        <v>21.834076379455912</v>
      </c>
      <c r="I3" s="4">
        <f t="shared" ref="I3:R3" si="0">SUM(I4:I50)</f>
        <v>40.549763033175367</v>
      </c>
      <c r="J3" s="4">
        <f t="shared" si="0"/>
        <v>12.679763033175362</v>
      </c>
      <c r="K3" s="4">
        <f t="shared" si="0"/>
        <v>225.31152630331769</v>
      </c>
      <c r="L3" s="4">
        <f t="shared" si="0"/>
        <v>22531.152630331766</v>
      </c>
      <c r="M3" s="4">
        <f t="shared" si="0"/>
        <v>1031.92607</v>
      </c>
      <c r="N3" s="4">
        <f t="shared" si="0"/>
        <v>42.06635071090048</v>
      </c>
      <c r="O3" s="4">
        <f t="shared" si="0"/>
        <v>12.306350710900478</v>
      </c>
      <c r="P3" s="4">
        <f t="shared" si="0"/>
        <v>284.10223720379156</v>
      </c>
      <c r="Q3" s="4">
        <f t="shared" si="0"/>
        <v>28410.223720379156</v>
      </c>
      <c r="R3" s="4">
        <f t="shared" si="0"/>
        <v>1107.93957</v>
      </c>
    </row>
    <row r="4" spans="1:18" x14ac:dyDescent="0.25">
      <c r="A4" t="s">
        <v>44</v>
      </c>
      <c r="B4">
        <v>2.4900000000000002</v>
      </c>
      <c r="C4">
        <v>1.39</v>
      </c>
      <c r="D4">
        <v>3.79</v>
      </c>
      <c r="E4">
        <v>4.99</v>
      </c>
      <c r="F4">
        <v>5</v>
      </c>
      <c r="G4" s="1">
        <f>Q4/R4</f>
        <v>29.087521414548146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16.699289099526069</v>
      </c>
      <c r="L4">
        <f>K4*100</f>
        <v>1669.928909952607</v>
      </c>
      <c r="M4">
        <f t="shared" ref="M4:M51" si="4">E4*F4</f>
        <v>24.950000000000003</v>
      </c>
      <c r="N4">
        <f>D4/1.055</f>
        <v>3.5924170616113749</v>
      </c>
      <c r="O4">
        <f>N4-B4</f>
        <v>1.1024170616113746</v>
      </c>
      <c r="P4">
        <f>O4*F4</f>
        <v>5.5120853080568732</v>
      </c>
      <c r="Q4">
        <f>P4*100</f>
        <v>551.20853080568736</v>
      </c>
      <c r="R4">
        <f>D4*F4</f>
        <v>18.95</v>
      </c>
    </row>
    <row r="5" spans="1:18" x14ac:dyDescent="0.25">
      <c r="A5" t="s">
        <v>10</v>
      </c>
      <c r="B5">
        <v>3.7</v>
      </c>
      <c r="C5">
        <v>2.7</v>
      </c>
      <c r="D5">
        <v>5.49</v>
      </c>
      <c r="E5">
        <v>4.99</v>
      </c>
      <c r="F5">
        <v>5</v>
      </c>
      <c r="G5" s="1">
        <f t="shared" ref="G5:G51" si="5">Q5/R5</f>
        <v>27.391465741244321</v>
      </c>
      <c r="H5" s="1">
        <f t="shared" ref="H5:H51" si="6">L5/M5</f>
        <v>40.678513424954183</v>
      </c>
      <c r="I5">
        <f t="shared" si="1"/>
        <v>4.7298578199052139</v>
      </c>
      <c r="J5">
        <f t="shared" si="2"/>
        <v>2.0298578199052137</v>
      </c>
      <c r="K5">
        <f t="shared" si="3"/>
        <v>10.149289099526069</v>
      </c>
      <c r="L5">
        <f t="shared" ref="L5:L51" si="7">K5*100</f>
        <v>1014.9289099526069</v>
      </c>
      <c r="M5">
        <f t="shared" si="4"/>
        <v>24.950000000000003</v>
      </c>
      <c r="N5">
        <f t="shared" ref="N5:N51" si="8">D5/1.055</f>
        <v>5.2037914691943135</v>
      </c>
      <c r="O5">
        <f t="shared" ref="O5:O51" si="9">N5-B5</f>
        <v>1.5037914691943133</v>
      </c>
      <c r="P5">
        <f t="shared" ref="P5:P51" si="10">O5*F5</f>
        <v>7.5189573459715664</v>
      </c>
      <c r="Q5">
        <f t="shared" ref="Q5:Q51" si="11">P5*100</f>
        <v>751.89573459715666</v>
      </c>
      <c r="R5">
        <f t="shared" ref="R5:R51" si="12">D5*F5</f>
        <v>27.450000000000003</v>
      </c>
    </row>
    <row r="6" spans="1:18" x14ac:dyDescent="0.25">
      <c r="A6" t="s">
        <v>70</v>
      </c>
      <c r="B6">
        <v>4.4000000000000004</v>
      </c>
      <c r="C6">
        <v>4.5</v>
      </c>
      <c r="D6">
        <v>6.99</v>
      </c>
      <c r="E6">
        <v>6.99</v>
      </c>
      <c r="F6">
        <v>28</v>
      </c>
      <c r="G6" s="1">
        <f t="shared" si="5"/>
        <v>31.839662618907177</v>
      </c>
      <c r="H6" s="1">
        <f t="shared" si="6"/>
        <v>30.409047454386439</v>
      </c>
      <c r="I6">
        <f t="shared" si="1"/>
        <v>6.6255924170616121</v>
      </c>
      <c r="J6">
        <f t="shared" si="2"/>
        <v>2.1255924170616121</v>
      </c>
      <c r="K6">
        <f t="shared" si="3"/>
        <v>59.516587677725141</v>
      </c>
      <c r="L6">
        <f t="shared" si="7"/>
        <v>5951.6587677725138</v>
      </c>
      <c r="M6">
        <f t="shared" si="4"/>
        <v>195.72</v>
      </c>
      <c r="N6">
        <f t="shared" si="8"/>
        <v>6.6255924170616121</v>
      </c>
      <c r="O6">
        <f t="shared" si="9"/>
        <v>2.2255924170616117</v>
      </c>
      <c r="P6">
        <f t="shared" si="10"/>
        <v>62.316587677725124</v>
      </c>
      <c r="Q6">
        <f t="shared" si="11"/>
        <v>6231.6587677725129</v>
      </c>
      <c r="R6">
        <f t="shared" si="12"/>
        <v>195.72</v>
      </c>
    </row>
    <row r="7" spans="1:18" x14ac:dyDescent="0.25">
      <c r="A7" t="s">
        <v>71</v>
      </c>
      <c r="B7">
        <v>1.8</v>
      </c>
      <c r="C7">
        <v>1.8</v>
      </c>
      <c r="D7">
        <v>1.99</v>
      </c>
      <c r="E7">
        <v>1.99</v>
      </c>
      <c r="F7">
        <v>72</v>
      </c>
      <c r="G7" s="1">
        <f t="shared" si="5"/>
        <v>4.3344685512872472</v>
      </c>
      <c r="H7" s="1">
        <f t="shared" si="6"/>
        <v>4.3344685512872472</v>
      </c>
      <c r="I7">
        <f t="shared" si="1"/>
        <v>1.8862559241706163</v>
      </c>
      <c r="J7">
        <f t="shared" si="2"/>
        <v>8.6255924170616227E-2</v>
      </c>
      <c r="K7">
        <f t="shared" si="3"/>
        <v>6.2104265402843684</v>
      </c>
      <c r="L7">
        <f t="shared" si="7"/>
        <v>621.0426540284368</v>
      </c>
      <c r="M7">
        <f t="shared" si="4"/>
        <v>143.28</v>
      </c>
      <c r="N7">
        <f t="shared" si="8"/>
        <v>1.8862559241706163</v>
      </c>
      <c r="O7">
        <f t="shared" si="9"/>
        <v>8.6255924170616227E-2</v>
      </c>
      <c r="P7">
        <f t="shared" si="10"/>
        <v>6.2104265402843684</v>
      </c>
      <c r="Q7">
        <f t="shared" si="11"/>
        <v>621.0426540284368</v>
      </c>
      <c r="R7">
        <f t="shared" si="12"/>
        <v>143.28</v>
      </c>
    </row>
    <row r="8" spans="1:18" x14ac:dyDescent="0.25">
      <c r="A8" t="s">
        <v>72</v>
      </c>
      <c r="B8">
        <v>1.29</v>
      </c>
      <c r="C8">
        <v>1.4</v>
      </c>
      <c r="D8">
        <v>1.89</v>
      </c>
      <c r="E8">
        <v>1.99</v>
      </c>
      <c r="F8">
        <v>24</v>
      </c>
      <c r="G8" s="1">
        <f t="shared" si="5"/>
        <v>26.532761603851654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11.670142180094793</v>
      </c>
      <c r="L8">
        <f t="shared" si="7"/>
        <v>1167.0142180094792</v>
      </c>
      <c r="M8">
        <f t="shared" si="4"/>
        <v>47.76</v>
      </c>
      <c r="N8">
        <f t="shared" si="8"/>
        <v>1.7914691943127963</v>
      </c>
      <c r="O8">
        <f t="shared" si="9"/>
        <v>0.50146919431279624</v>
      </c>
      <c r="P8">
        <f t="shared" si="10"/>
        <v>12.03526066350711</v>
      </c>
      <c r="Q8">
        <f t="shared" si="11"/>
        <v>1203.5260663507111</v>
      </c>
      <c r="R8">
        <f t="shared" si="12"/>
        <v>45.36</v>
      </c>
    </row>
    <row r="9" spans="1:18" x14ac:dyDescent="0.25">
      <c r="A9" t="s">
        <v>67</v>
      </c>
      <c r="B9">
        <v>2.75</v>
      </c>
      <c r="C9">
        <v>2.75</v>
      </c>
      <c r="D9">
        <v>3.99</v>
      </c>
      <c r="E9">
        <v>3.99</v>
      </c>
      <c r="F9">
        <v>6.7380000000000004</v>
      </c>
      <c r="G9" s="1">
        <f t="shared" si="5"/>
        <v>25.864424093408896</v>
      </c>
      <c r="H9" s="1">
        <f t="shared" si="6"/>
        <v>25.864424093408896</v>
      </c>
      <c r="I9">
        <f t="shared" si="1"/>
        <v>3.7819905213270149</v>
      </c>
      <c r="J9">
        <f t="shared" si="2"/>
        <v>1.0319905213270149</v>
      </c>
      <c r="K9">
        <f t="shared" si="3"/>
        <v>6.9535521327014269</v>
      </c>
      <c r="L9">
        <f t="shared" si="7"/>
        <v>695.35521327014271</v>
      </c>
      <c r="M9">
        <f t="shared" si="4"/>
        <v>26.884620000000002</v>
      </c>
      <c r="N9">
        <f t="shared" si="8"/>
        <v>3.7819905213270149</v>
      </c>
      <c r="O9">
        <f t="shared" si="9"/>
        <v>1.0319905213270149</v>
      </c>
      <c r="P9">
        <f t="shared" si="10"/>
        <v>6.9535521327014269</v>
      </c>
      <c r="Q9">
        <f t="shared" si="11"/>
        <v>695.35521327014271</v>
      </c>
      <c r="R9">
        <f t="shared" si="12"/>
        <v>26.884620000000002</v>
      </c>
    </row>
    <row r="10" spans="1:18" x14ac:dyDescent="0.25">
      <c r="A10" t="s">
        <v>45</v>
      </c>
      <c r="B10">
        <v>1.05</v>
      </c>
      <c r="C10">
        <v>0.95</v>
      </c>
      <c r="D10">
        <v>1.59</v>
      </c>
      <c r="E10">
        <v>1.49</v>
      </c>
      <c r="F10">
        <v>96</v>
      </c>
      <c r="G10" s="1">
        <f t="shared" si="5"/>
        <v>28.748994008763312</v>
      </c>
      <c r="H10" s="1">
        <f t="shared" si="6"/>
        <v>31.028340596074951</v>
      </c>
      <c r="I10">
        <f t="shared" si="1"/>
        <v>1.4123222748815167</v>
      </c>
      <c r="J10">
        <f t="shared" si="2"/>
        <v>0.46232227488151678</v>
      </c>
      <c r="K10">
        <f t="shared" si="3"/>
        <v>44.382938388625611</v>
      </c>
      <c r="L10">
        <f t="shared" si="7"/>
        <v>4438.2938388625607</v>
      </c>
      <c r="M10">
        <f t="shared" si="4"/>
        <v>143.04</v>
      </c>
      <c r="N10">
        <f t="shared" si="8"/>
        <v>1.5071090047393367</v>
      </c>
      <c r="O10">
        <f t="shared" si="9"/>
        <v>0.45710900473933669</v>
      </c>
      <c r="P10">
        <f t="shared" si="10"/>
        <v>43.882464454976322</v>
      </c>
      <c r="Q10">
        <f t="shared" si="11"/>
        <v>4388.2464454976325</v>
      </c>
      <c r="R10">
        <f t="shared" si="12"/>
        <v>152.64000000000001</v>
      </c>
    </row>
    <row r="11" spans="1:18" x14ac:dyDescent="0.25">
      <c r="A11" t="s">
        <v>73</v>
      </c>
      <c r="B11">
        <v>4.4000000000000004</v>
      </c>
      <c r="C11">
        <v>4.5999999999999996</v>
      </c>
      <c r="D11">
        <v>6.99</v>
      </c>
      <c r="E11">
        <v>3.99</v>
      </c>
      <c r="F11">
        <v>28</v>
      </c>
      <c r="G11" s="1">
        <f t="shared" si="5"/>
        <v>31.839662618907177</v>
      </c>
      <c r="H11" s="1">
        <f t="shared" si="6"/>
        <v>-20.501490693558516</v>
      </c>
      <c r="I11">
        <f t="shared" si="1"/>
        <v>3.7819905213270149</v>
      </c>
      <c r="J11">
        <f t="shared" si="2"/>
        <v>-0.81800947867298479</v>
      </c>
      <c r="K11">
        <f t="shared" si="3"/>
        <v>-22.904265402843574</v>
      </c>
      <c r="L11">
        <f t="shared" si="7"/>
        <v>-2290.4265402843575</v>
      </c>
      <c r="M11">
        <f t="shared" si="4"/>
        <v>111.72</v>
      </c>
      <c r="N11">
        <f t="shared" si="8"/>
        <v>6.6255924170616121</v>
      </c>
      <c r="O11">
        <f t="shared" si="9"/>
        <v>2.2255924170616117</v>
      </c>
      <c r="P11">
        <f t="shared" si="10"/>
        <v>62.316587677725124</v>
      </c>
      <c r="Q11">
        <f t="shared" si="11"/>
        <v>6231.6587677725129</v>
      </c>
      <c r="R11">
        <f t="shared" si="12"/>
        <v>195.72</v>
      </c>
    </row>
    <row r="12" spans="1:18" x14ac:dyDescent="0.25">
      <c r="A12" t="s">
        <v>74</v>
      </c>
      <c r="B12">
        <v>2.4900000000000002</v>
      </c>
      <c r="C12">
        <v>2.4900000000000002</v>
      </c>
      <c r="D12">
        <v>3.89</v>
      </c>
      <c r="E12">
        <v>4.1900000000000004</v>
      </c>
      <c r="F12">
        <v>13.3</v>
      </c>
      <c r="G12" s="1">
        <f t="shared" si="5"/>
        <v>30.776447081470298</v>
      </c>
      <c r="H12" s="1">
        <f t="shared" si="6"/>
        <v>35.35952222058841</v>
      </c>
      <c r="I12">
        <f t="shared" si="1"/>
        <v>3.9715639810426548</v>
      </c>
      <c r="J12">
        <f t="shared" si="2"/>
        <v>1.4815639810426546</v>
      </c>
      <c r="K12">
        <f t="shared" si="3"/>
        <v>19.704800947867309</v>
      </c>
      <c r="L12">
        <f t="shared" si="7"/>
        <v>1970.4800947867309</v>
      </c>
      <c r="M12">
        <f t="shared" si="4"/>
        <v>55.727000000000011</v>
      </c>
      <c r="N12">
        <f t="shared" si="8"/>
        <v>3.6872037914691949</v>
      </c>
      <c r="O12">
        <f t="shared" si="9"/>
        <v>1.1972037914691946</v>
      </c>
      <c r="P12">
        <f t="shared" si="10"/>
        <v>15.922810426540289</v>
      </c>
      <c r="Q12">
        <f t="shared" si="11"/>
        <v>1592.2810426540289</v>
      </c>
      <c r="R12">
        <f t="shared" si="12"/>
        <v>51.737000000000002</v>
      </c>
    </row>
    <row r="13" spans="1:18" x14ac:dyDescent="0.25">
      <c r="A13" t="s">
        <v>15</v>
      </c>
      <c r="B13">
        <v>1.45</v>
      </c>
      <c r="C13">
        <v>1.4</v>
      </c>
      <c r="D13">
        <v>1.99</v>
      </c>
      <c r="E13">
        <v>1.99</v>
      </c>
      <c r="F13">
        <v>72</v>
      </c>
      <c r="G13" s="1">
        <f t="shared" si="5"/>
        <v>21.922408249779714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35.010426540284378</v>
      </c>
      <c r="L13">
        <f t="shared" si="7"/>
        <v>3501.0426540284379</v>
      </c>
      <c r="M13">
        <f t="shared" si="4"/>
        <v>143.28</v>
      </c>
      <c r="N13">
        <f t="shared" si="8"/>
        <v>1.8862559241706163</v>
      </c>
      <c r="O13">
        <f t="shared" si="9"/>
        <v>0.43625592417061632</v>
      </c>
      <c r="P13">
        <f t="shared" si="10"/>
        <v>31.410426540284377</v>
      </c>
      <c r="Q13">
        <f t="shared" si="11"/>
        <v>3141.0426540284375</v>
      </c>
      <c r="R13">
        <f t="shared" si="12"/>
        <v>143.28</v>
      </c>
    </row>
    <row r="14" spans="1:18" x14ac:dyDescent="0.25">
      <c r="A14" t="s">
        <v>21</v>
      </c>
      <c r="B14">
        <v>1.45</v>
      </c>
      <c r="C14">
        <v>1.4</v>
      </c>
      <c r="D14">
        <v>1.89</v>
      </c>
      <c r="E14">
        <v>1.99</v>
      </c>
      <c r="F14">
        <v>12</v>
      </c>
      <c r="G14" s="1">
        <f t="shared" si="5"/>
        <v>18.067153138243192</v>
      </c>
      <c r="H14" s="1">
        <f t="shared" si="6"/>
        <v>24.434971063850067</v>
      </c>
      <c r="I14">
        <f t="shared" si="1"/>
        <v>1.8862559241706163</v>
      </c>
      <c r="J14">
        <f t="shared" si="2"/>
        <v>0.48625592417061636</v>
      </c>
      <c r="K14">
        <f t="shared" si="3"/>
        <v>5.8350710900473963</v>
      </c>
      <c r="L14">
        <f t="shared" si="7"/>
        <v>583.50710900473962</v>
      </c>
      <c r="M14">
        <f t="shared" si="4"/>
        <v>23.88</v>
      </c>
      <c r="N14">
        <f t="shared" si="8"/>
        <v>1.7914691943127963</v>
      </c>
      <c r="O14">
        <f t="shared" si="9"/>
        <v>0.34146919431279632</v>
      </c>
      <c r="P14">
        <f t="shared" si="10"/>
        <v>4.0976303317535558</v>
      </c>
      <c r="Q14">
        <f t="shared" si="11"/>
        <v>409.76303317535559</v>
      </c>
      <c r="R14">
        <f t="shared" si="12"/>
        <v>22.68</v>
      </c>
    </row>
    <row r="15" spans="1:18" x14ac:dyDescent="0.25">
      <c r="A15" t="s">
        <v>75</v>
      </c>
      <c r="B15">
        <v>2.4900000000000002</v>
      </c>
      <c r="C15">
        <v>2.4900000000000002</v>
      </c>
      <c r="D15">
        <v>3.89</v>
      </c>
      <c r="E15">
        <v>4.1900000000000004</v>
      </c>
      <c r="F15">
        <v>21.655000000000001</v>
      </c>
      <c r="G15" s="1">
        <f t="shared" si="5"/>
        <v>30.776447081470295</v>
      </c>
      <c r="H15" s="1">
        <f t="shared" si="6"/>
        <v>35.359522220588417</v>
      </c>
      <c r="I15">
        <f t="shared" si="1"/>
        <v>3.9715639810426548</v>
      </c>
      <c r="J15">
        <f t="shared" si="2"/>
        <v>1.4815639810426546</v>
      </c>
      <c r="K15">
        <f t="shared" si="3"/>
        <v>32.083268009478687</v>
      </c>
      <c r="L15">
        <f t="shared" si="7"/>
        <v>3208.3268009478688</v>
      </c>
      <c r="M15">
        <f t="shared" si="4"/>
        <v>90.73445000000001</v>
      </c>
      <c r="N15">
        <f t="shared" si="8"/>
        <v>3.6872037914691949</v>
      </c>
      <c r="O15">
        <f t="shared" si="9"/>
        <v>1.1972037914691946</v>
      </c>
      <c r="P15">
        <f t="shared" si="10"/>
        <v>25.92544810426541</v>
      </c>
      <c r="Q15">
        <f t="shared" si="11"/>
        <v>2592.5448104265411</v>
      </c>
      <c r="R15">
        <f t="shared" si="12"/>
        <v>84.237950000000012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255" priority="188" operator="lessThan">
      <formula>$C$4</formula>
    </cfRule>
  </conditionalFormatting>
  <conditionalFormatting sqref="C4">
    <cfRule type="cellIs" dxfId="2254" priority="187" operator="lessThan">
      <formula>$B$4</formula>
    </cfRule>
  </conditionalFormatting>
  <conditionalFormatting sqref="B5">
    <cfRule type="cellIs" dxfId="2253" priority="186" operator="lessThan">
      <formula>$C$5</formula>
    </cfRule>
  </conditionalFormatting>
  <conditionalFormatting sqref="C5">
    <cfRule type="cellIs" dxfId="2252" priority="185" operator="lessThan">
      <formula>$B$5</formula>
    </cfRule>
  </conditionalFormatting>
  <conditionalFormatting sqref="B6">
    <cfRule type="cellIs" dxfId="2251" priority="184" operator="lessThan">
      <formula>$C$6</formula>
    </cfRule>
  </conditionalFormatting>
  <conditionalFormatting sqref="C6">
    <cfRule type="cellIs" dxfId="2250" priority="183" operator="lessThan">
      <formula>$B$6</formula>
    </cfRule>
  </conditionalFormatting>
  <conditionalFormatting sqref="B7">
    <cfRule type="cellIs" dxfId="2249" priority="182" operator="lessThan">
      <formula>$C$7</formula>
    </cfRule>
  </conditionalFormatting>
  <conditionalFormatting sqref="C7">
    <cfRule type="cellIs" dxfId="2248" priority="181" operator="lessThan">
      <formula>$B$7</formula>
    </cfRule>
  </conditionalFormatting>
  <conditionalFormatting sqref="B8">
    <cfRule type="cellIs" dxfId="2247" priority="180" operator="lessThan">
      <formula>$C$8</formula>
    </cfRule>
  </conditionalFormatting>
  <conditionalFormatting sqref="C8">
    <cfRule type="cellIs" dxfId="2246" priority="179" operator="lessThan">
      <formula>$B$8</formula>
    </cfRule>
  </conditionalFormatting>
  <conditionalFormatting sqref="B9">
    <cfRule type="cellIs" dxfId="2245" priority="178" operator="lessThan">
      <formula>$C$9</formula>
    </cfRule>
  </conditionalFormatting>
  <conditionalFormatting sqref="C9">
    <cfRule type="cellIs" dxfId="2244" priority="177" operator="lessThan">
      <formula>$B$9</formula>
    </cfRule>
  </conditionalFormatting>
  <conditionalFormatting sqref="B10">
    <cfRule type="cellIs" dxfId="2243" priority="176" operator="lessThan">
      <formula>$C$10</formula>
    </cfRule>
  </conditionalFormatting>
  <conditionalFormatting sqref="C10">
    <cfRule type="cellIs" dxfId="2242" priority="175" operator="lessThan">
      <formula>$B$10</formula>
    </cfRule>
  </conditionalFormatting>
  <conditionalFormatting sqref="B11">
    <cfRule type="cellIs" dxfId="2241" priority="174" operator="lessThan">
      <formula>$C$11</formula>
    </cfRule>
  </conditionalFormatting>
  <conditionalFormatting sqref="C11">
    <cfRule type="cellIs" dxfId="2240" priority="173" operator="lessThan">
      <formula>$B$11</formula>
    </cfRule>
  </conditionalFormatting>
  <conditionalFormatting sqref="B12">
    <cfRule type="cellIs" dxfId="2239" priority="172" operator="lessThan">
      <formula>$C$12</formula>
    </cfRule>
  </conditionalFormatting>
  <conditionalFormatting sqref="C12">
    <cfRule type="cellIs" dxfId="2238" priority="171" operator="lessThan">
      <formula>$B$12</formula>
    </cfRule>
  </conditionalFormatting>
  <conditionalFormatting sqref="B13">
    <cfRule type="cellIs" dxfId="2237" priority="170" operator="lessThan">
      <formula>$C$13</formula>
    </cfRule>
  </conditionalFormatting>
  <conditionalFormatting sqref="C13">
    <cfRule type="cellIs" dxfId="2236" priority="169" operator="lessThan">
      <formula>$B$13</formula>
    </cfRule>
  </conditionalFormatting>
  <conditionalFormatting sqref="B14">
    <cfRule type="cellIs" dxfId="2235" priority="168" operator="lessThan">
      <formula>$C$14</formula>
    </cfRule>
  </conditionalFormatting>
  <conditionalFormatting sqref="C14">
    <cfRule type="cellIs" dxfId="2234" priority="167" operator="lessThan">
      <formula>$B$14</formula>
    </cfRule>
  </conditionalFormatting>
  <conditionalFormatting sqref="B15">
    <cfRule type="cellIs" dxfId="2233" priority="166" operator="lessThan">
      <formula>$C$15</formula>
    </cfRule>
  </conditionalFormatting>
  <conditionalFormatting sqref="C15">
    <cfRule type="cellIs" dxfId="2232" priority="165" operator="lessThan">
      <formula>$B$15</formula>
    </cfRule>
  </conditionalFormatting>
  <conditionalFormatting sqref="B16">
    <cfRule type="cellIs" dxfId="2231" priority="164" operator="lessThan">
      <formula>$C$16</formula>
    </cfRule>
  </conditionalFormatting>
  <conditionalFormatting sqref="C16">
    <cfRule type="cellIs" dxfId="2230" priority="163" operator="lessThan">
      <formula>$B$16</formula>
    </cfRule>
  </conditionalFormatting>
  <conditionalFormatting sqref="B17">
    <cfRule type="cellIs" dxfId="2229" priority="162" operator="lessThan">
      <formula>$C$17</formula>
    </cfRule>
  </conditionalFormatting>
  <conditionalFormatting sqref="C17">
    <cfRule type="cellIs" dxfId="2228" priority="161" operator="lessThan">
      <formula>$B$17</formula>
    </cfRule>
  </conditionalFormatting>
  <conditionalFormatting sqref="B18">
    <cfRule type="cellIs" dxfId="2227" priority="160" operator="lessThan">
      <formula>$C$18</formula>
    </cfRule>
  </conditionalFormatting>
  <conditionalFormatting sqref="C18">
    <cfRule type="cellIs" dxfId="2226" priority="159" operator="lessThan">
      <formula>$B$18</formula>
    </cfRule>
  </conditionalFormatting>
  <conditionalFormatting sqref="C19">
    <cfRule type="cellIs" dxfId="2225" priority="158" operator="lessThan">
      <formula>$B$19</formula>
    </cfRule>
  </conditionalFormatting>
  <conditionalFormatting sqref="B19">
    <cfRule type="cellIs" dxfId="2224" priority="157" operator="lessThan">
      <formula>$C$19</formula>
    </cfRule>
  </conditionalFormatting>
  <conditionalFormatting sqref="B20">
    <cfRule type="cellIs" dxfId="2223" priority="156" operator="lessThan">
      <formula>$C$20</formula>
    </cfRule>
  </conditionalFormatting>
  <conditionalFormatting sqref="C20">
    <cfRule type="cellIs" dxfId="2222" priority="155" operator="lessThan">
      <formula>$B$20</formula>
    </cfRule>
  </conditionalFormatting>
  <conditionalFormatting sqref="B21">
    <cfRule type="cellIs" dxfId="2221" priority="154" operator="lessThan">
      <formula>$C$21</formula>
    </cfRule>
  </conditionalFormatting>
  <conditionalFormatting sqref="C21">
    <cfRule type="cellIs" dxfId="2220" priority="153" operator="lessThan">
      <formula>$B$21</formula>
    </cfRule>
  </conditionalFormatting>
  <conditionalFormatting sqref="B22">
    <cfRule type="cellIs" dxfId="2219" priority="152" operator="lessThan">
      <formula>$C$22</formula>
    </cfRule>
  </conditionalFormatting>
  <conditionalFormatting sqref="C22">
    <cfRule type="cellIs" dxfId="2218" priority="151" operator="lessThan">
      <formula>$B$22</formula>
    </cfRule>
  </conditionalFormatting>
  <conditionalFormatting sqref="B23">
    <cfRule type="cellIs" dxfId="2217" priority="150" operator="lessThan">
      <formula>$C$23</formula>
    </cfRule>
  </conditionalFormatting>
  <conditionalFormatting sqref="C23">
    <cfRule type="cellIs" dxfId="2216" priority="149" operator="lessThan">
      <formula>$B$23</formula>
    </cfRule>
  </conditionalFormatting>
  <conditionalFormatting sqref="B24">
    <cfRule type="cellIs" dxfId="2215" priority="148" operator="lessThan">
      <formula>$C$24</formula>
    </cfRule>
  </conditionalFormatting>
  <conditionalFormatting sqref="C24">
    <cfRule type="cellIs" dxfId="2214" priority="147" operator="lessThan">
      <formula>$B$24</formula>
    </cfRule>
  </conditionalFormatting>
  <conditionalFormatting sqref="B25">
    <cfRule type="cellIs" dxfId="2213" priority="146" operator="lessThan">
      <formula>$C$25</formula>
    </cfRule>
  </conditionalFormatting>
  <conditionalFormatting sqref="C25">
    <cfRule type="cellIs" dxfId="2212" priority="145" operator="lessThan">
      <formula>$B$25</formula>
    </cfRule>
  </conditionalFormatting>
  <conditionalFormatting sqref="B26">
    <cfRule type="cellIs" dxfId="2211" priority="144" operator="lessThan">
      <formula>$C$26</formula>
    </cfRule>
  </conditionalFormatting>
  <conditionalFormatting sqref="C26">
    <cfRule type="cellIs" dxfId="2210" priority="143" operator="lessThan">
      <formula>$B$26</formula>
    </cfRule>
  </conditionalFormatting>
  <conditionalFormatting sqref="B27">
    <cfRule type="cellIs" dxfId="2209" priority="142" operator="lessThan">
      <formula>$C$27</formula>
    </cfRule>
  </conditionalFormatting>
  <conditionalFormatting sqref="C27">
    <cfRule type="cellIs" dxfId="2208" priority="141" operator="lessThan">
      <formula>$B$27</formula>
    </cfRule>
  </conditionalFormatting>
  <conditionalFormatting sqref="B28">
    <cfRule type="cellIs" dxfId="2207" priority="140" operator="lessThan">
      <formula>$C$28</formula>
    </cfRule>
  </conditionalFormatting>
  <conditionalFormatting sqref="C28">
    <cfRule type="cellIs" dxfId="2206" priority="139" operator="lessThan">
      <formula>$B$28</formula>
    </cfRule>
  </conditionalFormatting>
  <conditionalFormatting sqref="B29">
    <cfRule type="cellIs" dxfId="2205" priority="138" operator="lessThan">
      <formula>$C$29</formula>
    </cfRule>
  </conditionalFormatting>
  <conditionalFormatting sqref="C29">
    <cfRule type="cellIs" dxfId="2204" priority="137" operator="lessThan">
      <formula>$B$29</formula>
    </cfRule>
  </conditionalFormatting>
  <conditionalFormatting sqref="B30">
    <cfRule type="cellIs" dxfId="2203" priority="136" operator="lessThan">
      <formula>$C$30</formula>
    </cfRule>
  </conditionalFormatting>
  <conditionalFormatting sqref="C30">
    <cfRule type="cellIs" dxfId="2202" priority="135" operator="lessThan">
      <formula>$B$30</formula>
    </cfRule>
  </conditionalFormatting>
  <conditionalFormatting sqref="B31">
    <cfRule type="cellIs" dxfId="2201" priority="134" operator="lessThan">
      <formula>$C$31</formula>
    </cfRule>
  </conditionalFormatting>
  <conditionalFormatting sqref="C31">
    <cfRule type="cellIs" dxfId="2200" priority="133" operator="lessThan">
      <formula>$B$31</formula>
    </cfRule>
  </conditionalFormatting>
  <conditionalFormatting sqref="B32">
    <cfRule type="cellIs" dxfId="2199" priority="132" operator="lessThan">
      <formula>$C$32</formula>
    </cfRule>
  </conditionalFormatting>
  <conditionalFormatting sqref="C32">
    <cfRule type="cellIs" dxfId="2198" priority="131" operator="lessThan">
      <formula>$B$32</formula>
    </cfRule>
  </conditionalFormatting>
  <conditionalFormatting sqref="B33">
    <cfRule type="cellIs" dxfId="2197" priority="130" operator="lessThan">
      <formula>$C$33</formula>
    </cfRule>
  </conditionalFormatting>
  <conditionalFormatting sqref="C33">
    <cfRule type="cellIs" dxfId="2196" priority="129" operator="lessThan">
      <formula>$B$33</formula>
    </cfRule>
  </conditionalFormatting>
  <conditionalFormatting sqref="B34">
    <cfRule type="cellIs" dxfId="2195" priority="128" operator="lessThan">
      <formula>$C$34</formula>
    </cfRule>
  </conditionalFormatting>
  <conditionalFormatting sqref="C34">
    <cfRule type="cellIs" dxfId="2194" priority="127" operator="lessThan">
      <formula>$B$34</formula>
    </cfRule>
  </conditionalFormatting>
  <conditionalFormatting sqref="B35">
    <cfRule type="cellIs" dxfId="2193" priority="126" operator="lessThan">
      <formula>$C$35</formula>
    </cfRule>
  </conditionalFormatting>
  <conditionalFormatting sqref="C35">
    <cfRule type="cellIs" dxfId="2192" priority="125" operator="lessThan">
      <formula>$B$35</formula>
    </cfRule>
  </conditionalFormatting>
  <conditionalFormatting sqref="B36">
    <cfRule type="cellIs" dxfId="2191" priority="124" operator="lessThan">
      <formula>$C$36</formula>
    </cfRule>
  </conditionalFormatting>
  <conditionalFormatting sqref="C36">
    <cfRule type="cellIs" dxfId="2190" priority="123" operator="lessThan">
      <formula>$B$36</formula>
    </cfRule>
  </conditionalFormatting>
  <conditionalFormatting sqref="B37">
    <cfRule type="cellIs" dxfId="2189" priority="122" operator="lessThan">
      <formula>$C$37</formula>
    </cfRule>
  </conditionalFormatting>
  <conditionalFormatting sqref="C37">
    <cfRule type="cellIs" dxfId="2188" priority="121" operator="lessThan">
      <formula>$B$37</formula>
    </cfRule>
  </conditionalFormatting>
  <conditionalFormatting sqref="B38">
    <cfRule type="cellIs" dxfId="2187" priority="120" operator="lessThan">
      <formula>$C$38</formula>
    </cfRule>
  </conditionalFormatting>
  <conditionalFormatting sqref="C38">
    <cfRule type="cellIs" dxfId="2186" priority="119" operator="lessThan">
      <formula>$B$38</formula>
    </cfRule>
  </conditionalFormatting>
  <conditionalFormatting sqref="B39">
    <cfRule type="cellIs" dxfId="2185" priority="118" operator="lessThan">
      <formula>$C$39</formula>
    </cfRule>
  </conditionalFormatting>
  <conditionalFormatting sqref="C39">
    <cfRule type="cellIs" dxfId="2184" priority="117" operator="lessThan">
      <formula>$B$39</formula>
    </cfRule>
  </conditionalFormatting>
  <conditionalFormatting sqref="B40">
    <cfRule type="cellIs" dxfId="2183" priority="116" operator="lessThan">
      <formula>$C$40</formula>
    </cfRule>
  </conditionalFormatting>
  <conditionalFormatting sqref="C40">
    <cfRule type="cellIs" dxfId="2182" priority="115" operator="lessThan">
      <formula>$B$40</formula>
    </cfRule>
  </conditionalFormatting>
  <conditionalFormatting sqref="B41">
    <cfRule type="cellIs" dxfId="2181" priority="114" operator="lessThan">
      <formula>$C$41</formula>
    </cfRule>
  </conditionalFormatting>
  <conditionalFormatting sqref="C41">
    <cfRule type="cellIs" dxfId="2180" priority="113" operator="lessThan">
      <formula>$B$41</formula>
    </cfRule>
  </conditionalFormatting>
  <conditionalFormatting sqref="B42">
    <cfRule type="cellIs" dxfId="2179" priority="112" operator="lessThan">
      <formula>$C$42</formula>
    </cfRule>
  </conditionalFormatting>
  <conditionalFormatting sqref="C42">
    <cfRule type="cellIs" dxfId="2178" priority="111" operator="lessThan">
      <formula>$B$42</formula>
    </cfRule>
  </conditionalFormatting>
  <conditionalFormatting sqref="B43">
    <cfRule type="cellIs" dxfId="2177" priority="110" operator="lessThan">
      <formula>$C$43</formula>
    </cfRule>
  </conditionalFormatting>
  <conditionalFormatting sqref="C43">
    <cfRule type="cellIs" dxfId="2176" priority="109" operator="lessThan">
      <formula>$B$43</formula>
    </cfRule>
  </conditionalFormatting>
  <conditionalFormatting sqref="B44">
    <cfRule type="cellIs" dxfId="2175" priority="108" operator="lessThan">
      <formula>$C$44</formula>
    </cfRule>
  </conditionalFormatting>
  <conditionalFormatting sqref="C44">
    <cfRule type="cellIs" dxfId="2174" priority="107" operator="lessThan">
      <formula>$B$44</formula>
    </cfRule>
  </conditionalFormatting>
  <conditionalFormatting sqref="B45">
    <cfRule type="cellIs" dxfId="2173" priority="106" operator="lessThan">
      <formula>$C$45</formula>
    </cfRule>
  </conditionalFormatting>
  <conditionalFormatting sqref="C45">
    <cfRule type="cellIs" dxfId="2172" priority="105" operator="lessThan">
      <formula>$B$45</formula>
    </cfRule>
  </conditionalFormatting>
  <conditionalFormatting sqref="B46">
    <cfRule type="cellIs" dxfId="2171" priority="104" operator="lessThan">
      <formula>$C$46</formula>
    </cfRule>
  </conditionalFormatting>
  <conditionalFormatting sqref="C46">
    <cfRule type="cellIs" dxfId="2170" priority="103" operator="lessThan">
      <formula>$B$46</formula>
    </cfRule>
  </conditionalFormatting>
  <conditionalFormatting sqref="B47">
    <cfRule type="cellIs" dxfId="2169" priority="102" operator="lessThan">
      <formula>$C$47</formula>
    </cfRule>
  </conditionalFormatting>
  <conditionalFormatting sqref="C47">
    <cfRule type="cellIs" dxfId="2168" priority="101" operator="lessThan">
      <formula>$B$47</formula>
    </cfRule>
  </conditionalFormatting>
  <conditionalFormatting sqref="B48">
    <cfRule type="cellIs" dxfId="2167" priority="100" operator="lessThan">
      <formula>$C$48</formula>
    </cfRule>
  </conditionalFormatting>
  <conditionalFormatting sqref="C48">
    <cfRule type="cellIs" dxfId="2166" priority="99" operator="lessThan">
      <formula>$B$48</formula>
    </cfRule>
  </conditionalFormatting>
  <conditionalFormatting sqref="B49">
    <cfRule type="cellIs" dxfId="2165" priority="98" operator="lessThan">
      <formula>$C$49</formula>
    </cfRule>
  </conditionalFormatting>
  <conditionalFormatting sqref="C49">
    <cfRule type="cellIs" dxfId="2164" priority="97" operator="lessThan">
      <formula>$B$49</formula>
    </cfRule>
  </conditionalFormatting>
  <conditionalFormatting sqref="B50">
    <cfRule type="cellIs" dxfId="2163" priority="96" operator="lessThan">
      <formula>$C$50</formula>
    </cfRule>
  </conditionalFormatting>
  <conditionalFormatting sqref="C50">
    <cfRule type="cellIs" dxfId="2162" priority="95" operator="lessThan">
      <formula>$B$50</formula>
    </cfRule>
  </conditionalFormatting>
  <conditionalFormatting sqref="D4">
    <cfRule type="cellIs" dxfId="2161" priority="94" operator="lessThan">
      <formula>$E$4</formula>
    </cfRule>
  </conditionalFormatting>
  <conditionalFormatting sqref="E4">
    <cfRule type="cellIs" dxfId="2160" priority="93" operator="lessThan">
      <formula>$D$4</formula>
    </cfRule>
  </conditionalFormatting>
  <conditionalFormatting sqref="D5">
    <cfRule type="cellIs" dxfId="2159" priority="92" operator="lessThan">
      <formula>$E$5</formula>
    </cfRule>
  </conditionalFormatting>
  <conditionalFormatting sqref="E5">
    <cfRule type="cellIs" dxfId="2158" priority="91" operator="lessThan">
      <formula>$D$5</formula>
    </cfRule>
  </conditionalFormatting>
  <conditionalFormatting sqref="D6">
    <cfRule type="cellIs" dxfId="2157" priority="90" operator="lessThan">
      <formula>$E$6</formula>
    </cfRule>
  </conditionalFormatting>
  <conditionalFormatting sqref="E6">
    <cfRule type="cellIs" dxfId="2156" priority="89" operator="lessThan">
      <formula>$D$6</formula>
    </cfRule>
  </conditionalFormatting>
  <conditionalFormatting sqref="D7">
    <cfRule type="cellIs" dxfId="2155" priority="88" operator="lessThan">
      <formula>$E$7</formula>
    </cfRule>
  </conditionalFormatting>
  <conditionalFormatting sqref="E7">
    <cfRule type="cellIs" dxfId="2154" priority="87" operator="lessThan">
      <formula>$D$7</formula>
    </cfRule>
  </conditionalFormatting>
  <conditionalFormatting sqref="D8">
    <cfRule type="cellIs" dxfId="2153" priority="86" operator="lessThan">
      <formula>$E$8</formula>
    </cfRule>
  </conditionalFormatting>
  <conditionalFormatting sqref="E8">
    <cfRule type="cellIs" dxfId="2152" priority="85" operator="lessThan">
      <formula>$D$8</formula>
    </cfRule>
  </conditionalFormatting>
  <conditionalFormatting sqref="D9">
    <cfRule type="cellIs" dxfId="2151" priority="84" operator="lessThan">
      <formula>$E$9</formula>
    </cfRule>
  </conditionalFormatting>
  <conditionalFormatting sqref="E9">
    <cfRule type="cellIs" dxfId="2150" priority="83" operator="lessThan">
      <formula>$D$9</formula>
    </cfRule>
  </conditionalFormatting>
  <conditionalFormatting sqref="D10">
    <cfRule type="cellIs" dxfId="2149" priority="82" operator="lessThan">
      <formula>$E$10</formula>
    </cfRule>
  </conditionalFormatting>
  <conditionalFormatting sqref="E10">
    <cfRule type="cellIs" dxfId="2148" priority="81" operator="lessThan">
      <formula>$D$10</formula>
    </cfRule>
  </conditionalFormatting>
  <conditionalFormatting sqref="D11">
    <cfRule type="cellIs" dxfId="2147" priority="80" operator="lessThan">
      <formula>$E$11</formula>
    </cfRule>
  </conditionalFormatting>
  <conditionalFormatting sqref="E11">
    <cfRule type="cellIs" dxfId="2146" priority="79" operator="lessThan">
      <formula>$D$11</formula>
    </cfRule>
  </conditionalFormatting>
  <conditionalFormatting sqref="D12">
    <cfRule type="cellIs" dxfId="2145" priority="78" operator="lessThan">
      <formula>$E$12</formula>
    </cfRule>
  </conditionalFormatting>
  <conditionalFormatting sqref="E12">
    <cfRule type="cellIs" dxfId="2144" priority="77" operator="lessThan">
      <formula>$D$12</formula>
    </cfRule>
  </conditionalFormatting>
  <conditionalFormatting sqref="D13">
    <cfRule type="cellIs" dxfId="2143" priority="76" operator="lessThan">
      <formula>$E$13</formula>
    </cfRule>
  </conditionalFormatting>
  <conditionalFormatting sqref="E13">
    <cfRule type="cellIs" dxfId="2142" priority="75" operator="lessThan">
      <formula>$D$13</formula>
    </cfRule>
  </conditionalFormatting>
  <conditionalFormatting sqref="D14">
    <cfRule type="cellIs" dxfId="2141" priority="74" operator="lessThan">
      <formula>$E$14</formula>
    </cfRule>
  </conditionalFormatting>
  <conditionalFormatting sqref="E14">
    <cfRule type="cellIs" dxfId="2140" priority="73" operator="lessThan">
      <formula>$D$14</formula>
    </cfRule>
  </conditionalFormatting>
  <conditionalFormatting sqref="D15">
    <cfRule type="cellIs" dxfId="2139" priority="72" operator="lessThan">
      <formula>$E$15</formula>
    </cfRule>
  </conditionalFormatting>
  <conditionalFormatting sqref="E15">
    <cfRule type="cellIs" dxfId="2138" priority="71" operator="lessThan">
      <formula>$D$15</formula>
    </cfRule>
  </conditionalFormatting>
  <conditionalFormatting sqref="D16">
    <cfRule type="cellIs" dxfId="2137" priority="70" operator="lessThan">
      <formula>$E$16</formula>
    </cfRule>
  </conditionalFormatting>
  <conditionalFormatting sqref="E16">
    <cfRule type="cellIs" dxfId="2136" priority="69" operator="lessThan">
      <formula>$D$16</formula>
    </cfRule>
  </conditionalFormatting>
  <conditionalFormatting sqref="D17">
    <cfRule type="cellIs" dxfId="2135" priority="68" operator="lessThan">
      <formula>$E$17</formula>
    </cfRule>
  </conditionalFormatting>
  <conditionalFormatting sqref="E17">
    <cfRule type="cellIs" dxfId="2134" priority="67" operator="lessThan">
      <formula>$D$17</formula>
    </cfRule>
  </conditionalFormatting>
  <conditionalFormatting sqref="D18">
    <cfRule type="cellIs" dxfId="2133" priority="66" operator="lessThan">
      <formula>$E$18</formula>
    </cfRule>
  </conditionalFormatting>
  <conditionalFormatting sqref="E18">
    <cfRule type="cellIs" dxfId="2132" priority="65" operator="lessThan">
      <formula>$D$18</formula>
    </cfRule>
  </conditionalFormatting>
  <conditionalFormatting sqref="D19">
    <cfRule type="cellIs" dxfId="2131" priority="64" operator="lessThan">
      <formula>$E$19</formula>
    </cfRule>
  </conditionalFormatting>
  <conditionalFormatting sqref="E19">
    <cfRule type="cellIs" dxfId="2130" priority="63" operator="lessThan">
      <formula>$D$19</formula>
    </cfRule>
  </conditionalFormatting>
  <conditionalFormatting sqref="D20">
    <cfRule type="cellIs" dxfId="2129" priority="62" operator="lessThan">
      <formula>$E$20</formula>
    </cfRule>
  </conditionalFormatting>
  <conditionalFormatting sqref="E20">
    <cfRule type="cellIs" dxfId="2128" priority="61" operator="lessThan">
      <formula>$D$20</formula>
    </cfRule>
  </conditionalFormatting>
  <conditionalFormatting sqref="D21">
    <cfRule type="cellIs" dxfId="2127" priority="60" operator="lessThan">
      <formula>$E$21</formula>
    </cfRule>
  </conditionalFormatting>
  <conditionalFormatting sqref="E21">
    <cfRule type="cellIs" dxfId="2126" priority="59" operator="lessThan">
      <formula>$D$21</formula>
    </cfRule>
  </conditionalFormatting>
  <conditionalFormatting sqref="D22">
    <cfRule type="cellIs" dxfId="2125" priority="58" operator="lessThan">
      <formula>$E$22</formula>
    </cfRule>
  </conditionalFormatting>
  <conditionalFormatting sqref="E22">
    <cfRule type="cellIs" dxfId="2124" priority="57" operator="lessThan">
      <formula>$D$22</formula>
    </cfRule>
  </conditionalFormatting>
  <conditionalFormatting sqref="D23">
    <cfRule type="cellIs" dxfId="2123" priority="56" operator="lessThan">
      <formula>$E$23</formula>
    </cfRule>
  </conditionalFormatting>
  <conditionalFormatting sqref="E23">
    <cfRule type="cellIs" dxfId="2122" priority="55" operator="lessThan">
      <formula>$D$23</formula>
    </cfRule>
  </conditionalFormatting>
  <conditionalFormatting sqref="D24">
    <cfRule type="cellIs" dxfId="2121" priority="54" operator="lessThan">
      <formula>$E$24</formula>
    </cfRule>
  </conditionalFormatting>
  <conditionalFormatting sqref="E24">
    <cfRule type="cellIs" dxfId="2120" priority="53" operator="lessThan">
      <formula>$D$24</formula>
    </cfRule>
  </conditionalFormatting>
  <conditionalFormatting sqref="D25">
    <cfRule type="cellIs" dxfId="2119" priority="52" operator="lessThan">
      <formula>$E$25</formula>
    </cfRule>
  </conditionalFormatting>
  <conditionalFormatting sqref="E25">
    <cfRule type="cellIs" dxfId="2118" priority="51" operator="lessThan">
      <formula>$D$25</formula>
    </cfRule>
  </conditionalFormatting>
  <conditionalFormatting sqref="D26">
    <cfRule type="cellIs" dxfId="2117" priority="50" operator="lessThan">
      <formula>$E$26</formula>
    </cfRule>
  </conditionalFormatting>
  <conditionalFormatting sqref="E26">
    <cfRule type="cellIs" dxfId="2116" priority="49" operator="lessThan">
      <formula>$D$26</formula>
    </cfRule>
  </conditionalFormatting>
  <conditionalFormatting sqref="D27">
    <cfRule type="cellIs" dxfId="2115" priority="48" operator="lessThan">
      <formula>$E$27</formula>
    </cfRule>
  </conditionalFormatting>
  <conditionalFormatting sqref="E27">
    <cfRule type="cellIs" dxfId="2114" priority="47" operator="lessThan">
      <formula>$D$27</formula>
    </cfRule>
  </conditionalFormatting>
  <conditionalFormatting sqref="D28">
    <cfRule type="cellIs" dxfId="2113" priority="46" operator="lessThan">
      <formula>$E$28</formula>
    </cfRule>
  </conditionalFormatting>
  <conditionalFormatting sqref="E28">
    <cfRule type="cellIs" dxfId="2112" priority="45" operator="lessThan">
      <formula>$D$28</formula>
    </cfRule>
  </conditionalFormatting>
  <conditionalFormatting sqref="D29">
    <cfRule type="cellIs" dxfId="2111" priority="44" operator="lessThan">
      <formula>$E$29</formula>
    </cfRule>
  </conditionalFormatting>
  <conditionalFormatting sqref="E29">
    <cfRule type="cellIs" dxfId="2110" priority="43" operator="lessThan">
      <formula>$D$29</formula>
    </cfRule>
  </conditionalFormatting>
  <conditionalFormatting sqref="D30">
    <cfRule type="cellIs" dxfId="2109" priority="42" operator="lessThan">
      <formula>$E$30</formula>
    </cfRule>
  </conditionalFormatting>
  <conditionalFormatting sqref="E30">
    <cfRule type="cellIs" dxfId="2108" priority="41" operator="lessThan">
      <formula>$D$30</formula>
    </cfRule>
  </conditionalFormatting>
  <conditionalFormatting sqref="D31">
    <cfRule type="cellIs" dxfId="2107" priority="40" operator="lessThan">
      <formula>$E$31</formula>
    </cfRule>
  </conditionalFormatting>
  <conditionalFormatting sqref="E31">
    <cfRule type="cellIs" dxfId="2106" priority="39" operator="lessThan">
      <formula>$D$31</formula>
    </cfRule>
  </conditionalFormatting>
  <conditionalFormatting sqref="D32">
    <cfRule type="cellIs" dxfId="2105" priority="38" operator="lessThan">
      <formula>$E$32</formula>
    </cfRule>
  </conditionalFormatting>
  <conditionalFormatting sqref="E32">
    <cfRule type="cellIs" dxfId="2104" priority="37" operator="lessThan">
      <formula>$D$32</formula>
    </cfRule>
  </conditionalFormatting>
  <conditionalFormatting sqref="D33">
    <cfRule type="cellIs" dxfId="2103" priority="36" operator="lessThan">
      <formula>$E$33</formula>
    </cfRule>
  </conditionalFormatting>
  <conditionalFormatting sqref="E33">
    <cfRule type="cellIs" dxfId="2102" priority="35" operator="lessThan">
      <formula>$D$33</formula>
    </cfRule>
  </conditionalFormatting>
  <conditionalFormatting sqref="D34">
    <cfRule type="cellIs" dxfId="2101" priority="34" operator="lessThan">
      <formula>$E$34</formula>
    </cfRule>
  </conditionalFormatting>
  <conditionalFormatting sqref="E34">
    <cfRule type="cellIs" dxfId="2100" priority="33" operator="lessThan">
      <formula>$D$34</formula>
    </cfRule>
  </conditionalFormatting>
  <conditionalFormatting sqref="D35">
    <cfRule type="cellIs" dxfId="2099" priority="32" operator="lessThan">
      <formula>$E$35</formula>
    </cfRule>
  </conditionalFormatting>
  <conditionalFormatting sqref="E35">
    <cfRule type="cellIs" dxfId="2098" priority="31" operator="lessThan">
      <formula>$D$35</formula>
    </cfRule>
  </conditionalFormatting>
  <conditionalFormatting sqref="D36">
    <cfRule type="cellIs" dxfId="2097" priority="30" operator="lessThan">
      <formula>$E$36</formula>
    </cfRule>
  </conditionalFormatting>
  <conditionalFormatting sqref="E36">
    <cfRule type="cellIs" dxfId="2096" priority="29" operator="lessThan">
      <formula>$D$36</formula>
    </cfRule>
  </conditionalFormatting>
  <conditionalFormatting sqref="D37">
    <cfRule type="cellIs" dxfId="2095" priority="28" operator="lessThan">
      <formula>$E$37</formula>
    </cfRule>
  </conditionalFormatting>
  <conditionalFormatting sqref="E37">
    <cfRule type="cellIs" dxfId="2094" priority="27" operator="lessThan">
      <formula>$D$37</formula>
    </cfRule>
  </conditionalFormatting>
  <conditionalFormatting sqref="D38">
    <cfRule type="cellIs" dxfId="2093" priority="26" operator="lessThan">
      <formula>$E$38</formula>
    </cfRule>
  </conditionalFormatting>
  <conditionalFormatting sqref="E38">
    <cfRule type="cellIs" dxfId="2092" priority="25" operator="lessThan">
      <formula>$D$38</formula>
    </cfRule>
  </conditionalFormatting>
  <conditionalFormatting sqref="D39">
    <cfRule type="cellIs" dxfId="2091" priority="24" operator="lessThan">
      <formula>$E$39</formula>
    </cfRule>
  </conditionalFormatting>
  <conditionalFormatting sqref="E39">
    <cfRule type="cellIs" dxfId="2090" priority="23" operator="lessThan">
      <formula>$D$39</formula>
    </cfRule>
  </conditionalFormatting>
  <conditionalFormatting sqref="D40">
    <cfRule type="cellIs" dxfId="2089" priority="22" operator="lessThan">
      <formula>$E$40</formula>
    </cfRule>
  </conditionalFormatting>
  <conditionalFormatting sqref="E40">
    <cfRule type="cellIs" dxfId="2088" priority="21" operator="lessThan">
      <formula>$D$40</formula>
    </cfRule>
  </conditionalFormatting>
  <conditionalFormatting sqref="D41">
    <cfRule type="cellIs" dxfId="2087" priority="20" operator="lessThan">
      <formula>$E$41</formula>
    </cfRule>
  </conditionalFormatting>
  <conditionalFormatting sqref="E41">
    <cfRule type="cellIs" dxfId="2086" priority="19" operator="lessThan">
      <formula>$D$41</formula>
    </cfRule>
  </conditionalFormatting>
  <conditionalFormatting sqref="D42">
    <cfRule type="cellIs" dxfId="2085" priority="18" operator="lessThan">
      <formula>$E$42</formula>
    </cfRule>
  </conditionalFormatting>
  <conditionalFormatting sqref="E42">
    <cfRule type="cellIs" dxfId="2084" priority="17" operator="lessThan">
      <formula>$D$42</formula>
    </cfRule>
  </conditionalFormatting>
  <conditionalFormatting sqref="D43">
    <cfRule type="cellIs" dxfId="2083" priority="16" operator="lessThan">
      <formula>$E$43</formula>
    </cfRule>
  </conditionalFormatting>
  <conditionalFormatting sqref="E43">
    <cfRule type="cellIs" dxfId="2082" priority="15" operator="lessThan">
      <formula>$D$43</formula>
    </cfRule>
  </conditionalFormatting>
  <conditionalFormatting sqref="D44">
    <cfRule type="cellIs" dxfId="2081" priority="14" operator="lessThan">
      <formula>$E$44</formula>
    </cfRule>
  </conditionalFormatting>
  <conditionalFormatting sqref="E44">
    <cfRule type="cellIs" dxfId="2080" priority="13" operator="lessThan">
      <formula>$D$44</formula>
    </cfRule>
  </conditionalFormatting>
  <conditionalFormatting sqref="D45">
    <cfRule type="cellIs" dxfId="2079" priority="12" operator="lessThan">
      <formula>$E$45</formula>
    </cfRule>
  </conditionalFormatting>
  <conditionalFormatting sqref="E45">
    <cfRule type="cellIs" dxfId="2078" priority="11" operator="lessThan">
      <formula>$D$45</formula>
    </cfRule>
  </conditionalFormatting>
  <conditionalFormatting sqref="D46">
    <cfRule type="cellIs" dxfId="2077" priority="10" operator="lessThan">
      <formula>$E$46</formula>
    </cfRule>
  </conditionalFormatting>
  <conditionalFormatting sqref="E46">
    <cfRule type="cellIs" dxfId="2076" priority="9" operator="lessThan">
      <formula>$D$46</formula>
    </cfRule>
  </conditionalFormatting>
  <conditionalFormatting sqref="D47">
    <cfRule type="cellIs" dxfId="2075" priority="8" operator="lessThan">
      <formula>$E$47</formula>
    </cfRule>
  </conditionalFormatting>
  <conditionalFormatting sqref="E47">
    <cfRule type="cellIs" dxfId="2074" priority="7" operator="lessThan">
      <formula>$D$47</formula>
    </cfRule>
  </conditionalFormatting>
  <conditionalFormatting sqref="D48">
    <cfRule type="cellIs" dxfId="2073" priority="6" operator="lessThan">
      <formula>$E$48</formula>
    </cfRule>
  </conditionalFormatting>
  <conditionalFormatting sqref="E48">
    <cfRule type="cellIs" dxfId="2072" priority="5" operator="lessThan">
      <formula>$D$48</formula>
    </cfRule>
  </conditionalFormatting>
  <conditionalFormatting sqref="D49">
    <cfRule type="cellIs" dxfId="2071" priority="4" operator="lessThan">
      <formula>$E$49</formula>
    </cfRule>
  </conditionalFormatting>
  <conditionalFormatting sqref="E49">
    <cfRule type="cellIs" dxfId="2070" priority="3" operator="lessThan">
      <formula>$D$49</formula>
    </cfRule>
  </conditionalFormatting>
  <conditionalFormatting sqref="D50">
    <cfRule type="cellIs" dxfId="2069" priority="2" operator="lessThan">
      <formula>$E$50</formula>
    </cfRule>
  </conditionalFormatting>
  <conditionalFormatting sqref="E50">
    <cfRule type="cellIs" dxfId="2068" priority="1" operator="lessThan">
      <formula>$D$50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B14" sqref="B14"/>
    </sheetView>
  </sheetViews>
  <sheetFormatPr baseColWidth="10" defaultRowHeight="15" x14ac:dyDescent="0.25"/>
  <sheetData>
    <row r="1" spans="1:18" x14ac:dyDescent="0.25">
      <c r="A1" s="1"/>
      <c r="B1" s="2">
        <f>AVERAGE(B4:B38)</f>
        <v>2.1085714285714281</v>
      </c>
      <c r="C1" s="2">
        <f>AVERAGE(C4:C30)</f>
        <v>1.8678571428571427</v>
      </c>
      <c r="D1" s="2">
        <f>AVERAGE(D4:D60)</f>
        <v>3.0900000000000007</v>
      </c>
      <c r="E1" s="2">
        <f>AVERAGE(E4:E60)</f>
        <v>2.9900000000000007</v>
      </c>
      <c r="F1" s="1">
        <f>SUM(F4:F50)</f>
        <v>591.73800000000006</v>
      </c>
      <c r="G1" s="1">
        <f>D1-E1</f>
        <v>0.10000000000000009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27.019280403735198</v>
      </c>
      <c r="H3" s="2">
        <f>L3/M3</f>
        <v>31.429758134796074</v>
      </c>
      <c r="I3" s="4">
        <f t="shared" ref="I3:R3" si="0">SUM(I4:I50)</f>
        <v>39.677725118483416</v>
      </c>
      <c r="J3" s="4">
        <f t="shared" si="0"/>
        <v>13.527725118483419</v>
      </c>
      <c r="K3" s="4">
        <f t="shared" si="0"/>
        <v>315.87995023696692</v>
      </c>
      <c r="L3" s="4">
        <f t="shared" si="0"/>
        <v>31587.995023696687</v>
      </c>
      <c r="M3" s="4">
        <f t="shared" si="0"/>
        <v>1005.0346200000001</v>
      </c>
      <c r="N3" s="4">
        <f t="shared" si="0"/>
        <v>41.004739336492896</v>
      </c>
      <c r="O3" s="4">
        <f t="shared" si="0"/>
        <v>11.484739336492895</v>
      </c>
      <c r="P3" s="4">
        <f t="shared" si="0"/>
        <v>303.94923933649301</v>
      </c>
      <c r="Q3" s="4">
        <f t="shared" si="0"/>
        <v>30394.923933649301</v>
      </c>
      <c r="R3" s="4">
        <f t="shared" si="0"/>
        <v>1124.93462</v>
      </c>
    </row>
    <row r="4" spans="1:18" x14ac:dyDescent="0.25">
      <c r="A4" t="s">
        <v>76</v>
      </c>
      <c r="B4">
        <v>4.25</v>
      </c>
      <c r="C4">
        <v>3.99</v>
      </c>
      <c r="D4">
        <v>5.99</v>
      </c>
      <c r="E4">
        <v>5.99</v>
      </c>
      <c r="F4">
        <v>12</v>
      </c>
      <c r="G4" s="1">
        <f>Q4/R4</f>
        <v>23.835143881192202</v>
      </c>
      <c r="H4" s="1">
        <f>L4/M4</f>
        <v>28.175711493880012</v>
      </c>
      <c r="I4">
        <f t="shared" ref="I4:I51" si="1">E4/1.055</f>
        <v>5.677725118483413</v>
      </c>
      <c r="J4">
        <f t="shared" ref="J4:J51" si="2">I4-C4</f>
        <v>1.6877251184834128</v>
      </c>
      <c r="K4">
        <f t="shared" ref="K4:K51" si="3">J4*F4</f>
        <v>20.252701421800953</v>
      </c>
      <c r="L4">
        <f>K4*100</f>
        <v>2025.2701421800953</v>
      </c>
      <c r="M4">
        <f t="shared" ref="M4:M51" si="4">E4*F4</f>
        <v>71.88</v>
      </c>
      <c r="N4">
        <f>D4/1.055</f>
        <v>5.677725118483413</v>
      </c>
      <c r="O4">
        <f>N4-B4</f>
        <v>1.427725118483413</v>
      </c>
      <c r="P4">
        <f>O4*F4</f>
        <v>17.132701421800956</v>
      </c>
      <c r="Q4">
        <f>P4*100</f>
        <v>1713.2701421800955</v>
      </c>
      <c r="R4">
        <f>D4*F4</f>
        <v>71.88</v>
      </c>
    </row>
    <row r="5" spans="1:18" x14ac:dyDescent="0.25">
      <c r="A5" t="s">
        <v>42</v>
      </c>
      <c r="B5">
        <v>2.19</v>
      </c>
      <c r="C5">
        <v>2.59</v>
      </c>
      <c r="D5">
        <v>3.49</v>
      </c>
      <c r="E5">
        <v>3.49</v>
      </c>
      <c r="F5">
        <v>20</v>
      </c>
      <c r="G5" s="1">
        <f t="shared" ref="G5:G51" si="5">Q5/R5</f>
        <v>32.036013525441682</v>
      </c>
      <c r="H5" s="1">
        <f t="shared" ref="H5:H51" si="6">L5/M5</f>
        <v>20.574695473865756</v>
      </c>
      <c r="I5">
        <f t="shared" si="1"/>
        <v>3.3080568720379149</v>
      </c>
      <c r="J5">
        <f t="shared" si="2"/>
        <v>0.71805687203791502</v>
      </c>
      <c r="K5">
        <f t="shared" si="3"/>
        <v>14.3611374407583</v>
      </c>
      <c r="L5">
        <f t="shared" ref="L5:L51" si="7">K5*100</f>
        <v>1436.11374407583</v>
      </c>
      <c r="M5">
        <f t="shared" si="4"/>
        <v>69.800000000000011</v>
      </c>
      <c r="N5">
        <f t="shared" ref="N5:N51" si="8">D5/1.055</f>
        <v>3.3080568720379149</v>
      </c>
      <c r="O5">
        <f t="shared" ref="O5:O51" si="9">N5-B5</f>
        <v>1.1180568720379149</v>
      </c>
      <c r="P5">
        <f t="shared" ref="P5:P51" si="10">O5*F5</f>
        <v>22.361137440758299</v>
      </c>
      <c r="Q5">
        <f t="shared" ref="Q5:Q51" si="11">P5*100</f>
        <v>2236.1137440758298</v>
      </c>
      <c r="R5">
        <f t="shared" ref="R5:R51" si="12">D5*F5</f>
        <v>69.800000000000011</v>
      </c>
    </row>
    <row r="6" spans="1:18" x14ac:dyDescent="0.25">
      <c r="A6" t="s">
        <v>77</v>
      </c>
      <c r="B6">
        <v>2.29</v>
      </c>
      <c r="C6">
        <v>1.39</v>
      </c>
      <c r="D6">
        <v>3.99</v>
      </c>
      <c r="E6">
        <v>4.99</v>
      </c>
      <c r="F6">
        <v>5</v>
      </c>
      <c r="G6" s="1">
        <f t="shared" si="5"/>
        <v>37.393246148546737</v>
      </c>
      <c r="H6" s="1">
        <f t="shared" si="6"/>
        <v>66.93101843497422</v>
      </c>
      <c r="I6">
        <f t="shared" si="1"/>
        <v>4.7298578199052139</v>
      </c>
      <c r="J6">
        <f t="shared" si="2"/>
        <v>3.3398578199052142</v>
      </c>
      <c r="K6">
        <f t="shared" si="3"/>
        <v>16.699289099526069</v>
      </c>
      <c r="L6">
        <f t="shared" si="7"/>
        <v>1669.928909952607</v>
      </c>
      <c r="M6">
        <f t="shared" si="4"/>
        <v>24.950000000000003</v>
      </c>
      <c r="N6">
        <f t="shared" si="8"/>
        <v>3.7819905213270149</v>
      </c>
      <c r="O6">
        <f t="shared" si="9"/>
        <v>1.4919905213270148</v>
      </c>
      <c r="P6">
        <f t="shared" si="10"/>
        <v>7.4599526066350741</v>
      </c>
      <c r="Q6">
        <f t="shared" si="11"/>
        <v>745.99526066350745</v>
      </c>
      <c r="R6">
        <f t="shared" si="12"/>
        <v>19.950000000000003</v>
      </c>
    </row>
    <row r="7" spans="1:18" x14ac:dyDescent="0.25">
      <c r="A7" t="s">
        <v>78</v>
      </c>
      <c r="B7">
        <v>4.49</v>
      </c>
      <c r="C7">
        <v>3.19</v>
      </c>
      <c r="D7">
        <v>6.49</v>
      </c>
      <c r="E7">
        <v>4.99</v>
      </c>
      <c r="F7">
        <v>5</v>
      </c>
      <c r="G7" s="1">
        <f t="shared" si="5"/>
        <v>25.603370843952419</v>
      </c>
      <c r="H7" s="1">
        <f t="shared" si="6"/>
        <v>30.858874146397071</v>
      </c>
      <c r="I7">
        <f t="shared" si="1"/>
        <v>4.7298578199052139</v>
      </c>
      <c r="J7">
        <f t="shared" si="2"/>
        <v>1.539857819905214</v>
      </c>
      <c r="K7">
        <f t="shared" si="3"/>
        <v>7.6992890995260694</v>
      </c>
      <c r="L7">
        <f t="shared" si="7"/>
        <v>769.928909952607</v>
      </c>
      <c r="M7">
        <f t="shared" si="4"/>
        <v>24.950000000000003</v>
      </c>
      <c r="N7">
        <f t="shared" si="8"/>
        <v>6.1516587677725125</v>
      </c>
      <c r="O7">
        <f t="shared" si="9"/>
        <v>1.6616587677725123</v>
      </c>
      <c r="P7">
        <f t="shared" si="10"/>
        <v>8.3082938388625607</v>
      </c>
      <c r="Q7">
        <f t="shared" si="11"/>
        <v>830.8293838862561</v>
      </c>
      <c r="R7">
        <f t="shared" si="12"/>
        <v>32.450000000000003</v>
      </c>
    </row>
    <row r="8" spans="1:18" x14ac:dyDescent="0.25">
      <c r="A8" t="s">
        <v>79</v>
      </c>
      <c r="B8">
        <v>1.45</v>
      </c>
      <c r="C8">
        <v>1.4</v>
      </c>
      <c r="D8">
        <v>1.89</v>
      </c>
      <c r="E8">
        <v>1.99</v>
      </c>
      <c r="F8">
        <v>12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5.8350710900473963</v>
      </c>
      <c r="L8">
        <f t="shared" si="7"/>
        <v>583.50710900473962</v>
      </c>
      <c r="M8">
        <f t="shared" si="4"/>
        <v>23.88</v>
      </c>
      <c r="N8">
        <f t="shared" si="8"/>
        <v>1.7914691943127963</v>
      </c>
      <c r="O8">
        <f t="shared" si="9"/>
        <v>0.34146919431279632</v>
      </c>
      <c r="P8">
        <f t="shared" si="10"/>
        <v>4.0976303317535558</v>
      </c>
      <c r="Q8">
        <f t="shared" si="11"/>
        <v>409.76303317535559</v>
      </c>
      <c r="R8">
        <f t="shared" si="12"/>
        <v>22.68</v>
      </c>
    </row>
    <row r="9" spans="1:18" x14ac:dyDescent="0.25">
      <c r="A9" t="s">
        <v>27</v>
      </c>
      <c r="B9">
        <v>0.96</v>
      </c>
      <c r="C9">
        <v>0.55000000000000004</v>
      </c>
      <c r="D9">
        <v>1.39</v>
      </c>
      <c r="E9">
        <v>0.99</v>
      </c>
      <c r="F9">
        <v>176</v>
      </c>
      <c r="G9" s="1">
        <f t="shared" si="5"/>
        <v>25.721981656381065</v>
      </c>
      <c r="H9" s="1">
        <f t="shared" si="6"/>
        <v>39.231174302264343</v>
      </c>
      <c r="I9">
        <f t="shared" si="1"/>
        <v>0.93838862559241709</v>
      </c>
      <c r="J9">
        <f t="shared" si="2"/>
        <v>0.38838862559241705</v>
      </c>
      <c r="K9">
        <f t="shared" si="3"/>
        <v>68.356398104265395</v>
      </c>
      <c r="L9">
        <f t="shared" si="7"/>
        <v>6835.639810426539</v>
      </c>
      <c r="M9">
        <f t="shared" si="4"/>
        <v>174.24</v>
      </c>
      <c r="N9">
        <f t="shared" si="8"/>
        <v>1.3175355450236967</v>
      </c>
      <c r="O9">
        <f t="shared" si="9"/>
        <v>0.35753554502369678</v>
      </c>
      <c r="P9">
        <f t="shared" si="10"/>
        <v>62.926255924170633</v>
      </c>
      <c r="Q9">
        <f t="shared" si="11"/>
        <v>6292.6255924170637</v>
      </c>
      <c r="R9">
        <f t="shared" si="12"/>
        <v>244.64</v>
      </c>
    </row>
    <row r="10" spans="1:18" x14ac:dyDescent="0.25">
      <c r="A10" t="s">
        <v>48</v>
      </c>
      <c r="B10">
        <v>1.99</v>
      </c>
      <c r="C10">
        <v>1.89</v>
      </c>
      <c r="D10">
        <v>3.49</v>
      </c>
      <c r="E10">
        <v>2.99</v>
      </c>
      <c r="F10">
        <v>30</v>
      </c>
      <c r="G10" s="1">
        <f t="shared" si="5"/>
        <v>37.766672551229654</v>
      </c>
      <c r="H10" s="1">
        <f t="shared" si="6"/>
        <v>31.576027516682785</v>
      </c>
      <c r="I10">
        <f t="shared" si="1"/>
        <v>2.8341232227488153</v>
      </c>
      <c r="J10">
        <f t="shared" si="2"/>
        <v>0.94412322274881544</v>
      </c>
      <c r="K10">
        <f t="shared" si="3"/>
        <v>28.323696682464462</v>
      </c>
      <c r="L10">
        <f t="shared" si="7"/>
        <v>2832.3696682464461</v>
      </c>
      <c r="M10">
        <f t="shared" si="4"/>
        <v>89.7</v>
      </c>
      <c r="N10">
        <f t="shared" si="8"/>
        <v>3.3080568720379149</v>
      </c>
      <c r="O10">
        <f t="shared" si="9"/>
        <v>1.3180568720379149</v>
      </c>
      <c r="P10">
        <f t="shared" si="10"/>
        <v>39.541706161137448</v>
      </c>
      <c r="Q10">
        <f t="shared" si="11"/>
        <v>3954.1706161137449</v>
      </c>
      <c r="R10">
        <f t="shared" si="12"/>
        <v>104.7</v>
      </c>
    </row>
    <row r="11" spans="1:18" x14ac:dyDescent="0.25">
      <c r="A11" t="s">
        <v>49</v>
      </c>
      <c r="B11">
        <v>2.95</v>
      </c>
      <c r="C11">
        <v>2.65</v>
      </c>
      <c r="D11">
        <v>3.99</v>
      </c>
      <c r="E11">
        <v>3.99</v>
      </c>
      <c r="F11">
        <v>15</v>
      </c>
      <c r="G11" s="1">
        <f t="shared" si="5"/>
        <v>20.851892765088085</v>
      </c>
      <c r="H11" s="1">
        <f t="shared" si="6"/>
        <v>28.370689757569295</v>
      </c>
      <c r="I11">
        <f t="shared" si="1"/>
        <v>3.7819905213270149</v>
      </c>
      <c r="J11">
        <f t="shared" si="2"/>
        <v>1.1319905213270149</v>
      </c>
      <c r="K11">
        <f t="shared" si="3"/>
        <v>16.979857819905224</v>
      </c>
      <c r="L11">
        <f t="shared" si="7"/>
        <v>1697.9857819905224</v>
      </c>
      <c r="M11">
        <f t="shared" si="4"/>
        <v>59.85</v>
      </c>
      <c r="N11">
        <f t="shared" si="8"/>
        <v>3.7819905213270149</v>
      </c>
      <c r="O11">
        <f t="shared" si="9"/>
        <v>0.83199052132701468</v>
      </c>
      <c r="P11">
        <f t="shared" si="10"/>
        <v>12.47985781990522</v>
      </c>
      <c r="Q11">
        <f t="shared" si="11"/>
        <v>1247.9857819905219</v>
      </c>
      <c r="R11">
        <f t="shared" si="12"/>
        <v>59.85</v>
      </c>
    </row>
    <row r="12" spans="1:18" x14ac:dyDescent="0.25">
      <c r="A12" t="s">
        <v>72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A13" t="s">
        <v>52</v>
      </c>
      <c r="B13">
        <v>1.45</v>
      </c>
      <c r="C13">
        <v>1.4</v>
      </c>
      <c r="D13">
        <v>1.99</v>
      </c>
      <c r="E13">
        <v>1.99</v>
      </c>
      <c r="F13">
        <v>48</v>
      </c>
      <c r="G13" s="1">
        <f t="shared" si="5"/>
        <v>21.922408249779718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23.340284360189585</v>
      </c>
      <c r="L13">
        <f t="shared" si="7"/>
        <v>2334.0284360189585</v>
      </c>
      <c r="M13">
        <f t="shared" si="4"/>
        <v>95.52</v>
      </c>
      <c r="N13">
        <f t="shared" si="8"/>
        <v>1.8862559241706163</v>
      </c>
      <c r="O13">
        <f t="shared" si="9"/>
        <v>0.43625592417061632</v>
      </c>
      <c r="P13">
        <f t="shared" si="10"/>
        <v>20.940284360189583</v>
      </c>
      <c r="Q13">
        <f t="shared" si="11"/>
        <v>2094.0284360189585</v>
      </c>
      <c r="R13">
        <f t="shared" si="12"/>
        <v>95.52</v>
      </c>
    </row>
    <row r="14" spans="1:18" x14ac:dyDescent="0.25">
      <c r="A14" t="s">
        <v>80</v>
      </c>
      <c r="B14">
        <v>2.75</v>
      </c>
      <c r="C14">
        <v>2.75</v>
      </c>
      <c r="D14">
        <v>3.99</v>
      </c>
      <c r="E14">
        <v>3.99</v>
      </c>
      <c r="F14">
        <v>6.7380000000000004</v>
      </c>
      <c r="G14" s="1">
        <f t="shared" si="5"/>
        <v>25.864424093408896</v>
      </c>
      <c r="H14" s="1">
        <f t="shared" si="6"/>
        <v>25.864424093408896</v>
      </c>
      <c r="I14">
        <f t="shared" si="1"/>
        <v>3.7819905213270149</v>
      </c>
      <c r="J14">
        <f t="shared" si="2"/>
        <v>1.0319905213270149</v>
      </c>
      <c r="K14">
        <f t="shared" si="3"/>
        <v>6.9535521327014269</v>
      </c>
      <c r="L14">
        <f t="shared" si="7"/>
        <v>695.35521327014271</v>
      </c>
      <c r="M14">
        <f t="shared" si="4"/>
        <v>26.884620000000002</v>
      </c>
      <c r="N14">
        <f t="shared" si="8"/>
        <v>3.7819905213270149</v>
      </c>
      <c r="O14">
        <f t="shared" si="9"/>
        <v>1.0319905213270149</v>
      </c>
      <c r="P14">
        <f t="shared" si="10"/>
        <v>6.9535521327014269</v>
      </c>
      <c r="Q14">
        <f t="shared" si="11"/>
        <v>695.35521327014271</v>
      </c>
      <c r="R14">
        <f t="shared" si="12"/>
        <v>26.884620000000002</v>
      </c>
    </row>
    <row r="15" spans="1:18" x14ac:dyDescent="0.25">
      <c r="A15" t="s">
        <v>45</v>
      </c>
      <c r="B15">
        <v>1.05</v>
      </c>
      <c r="C15">
        <v>0.95</v>
      </c>
      <c r="D15">
        <v>1.59</v>
      </c>
      <c r="E15">
        <v>1.49</v>
      </c>
      <c r="F15">
        <v>120</v>
      </c>
      <c r="G15" s="1">
        <f t="shared" si="5"/>
        <v>28.748994008763308</v>
      </c>
      <c r="H15" s="1">
        <f t="shared" si="6"/>
        <v>31.028340596074951</v>
      </c>
      <c r="I15">
        <f t="shared" si="1"/>
        <v>1.4123222748815167</v>
      </c>
      <c r="J15">
        <f t="shared" si="2"/>
        <v>0.46232227488151678</v>
      </c>
      <c r="K15">
        <f t="shared" si="3"/>
        <v>55.478672985782012</v>
      </c>
      <c r="L15">
        <f t="shared" si="7"/>
        <v>5547.8672985782014</v>
      </c>
      <c r="M15">
        <f t="shared" si="4"/>
        <v>178.8</v>
      </c>
      <c r="N15">
        <f t="shared" si="8"/>
        <v>1.5071090047393367</v>
      </c>
      <c r="O15">
        <f t="shared" si="9"/>
        <v>0.45710900473933669</v>
      </c>
      <c r="P15">
        <f t="shared" si="10"/>
        <v>54.853080568720401</v>
      </c>
      <c r="Q15">
        <f t="shared" si="11"/>
        <v>5485.3080568720397</v>
      </c>
      <c r="R15">
        <f t="shared" si="12"/>
        <v>190.8</v>
      </c>
    </row>
    <row r="16" spans="1:18" x14ac:dyDescent="0.25">
      <c r="A16" t="s">
        <v>81</v>
      </c>
      <c r="B16">
        <v>1.45</v>
      </c>
      <c r="C16">
        <v>1.4</v>
      </c>
      <c r="D16">
        <v>1.89</v>
      </c>
      <c r="E16">
        <v>1.99</v>
      </c>
      <c r="F16">
        <v>12</v>
      </c>
      <c r="G16" s="1">
        <f t="shared" si="5"/>
        <v>18.067153138243192</v>
      </c>
      <c r="H16" s="1">
        <f t="shared" si="6"/>
        <v>24.434971063850067</v>
      </c>
      <c r="I16">
        <f t="shared" si="1"/>
        <v>1.8862559241706163</v>
      </c>
      <c r="J16">
        <f t="shared" si="2"/>
        <v>0.48625592417061636</v>
      </c>
      <c r="K16">
        <f t="shared" si="3"/>
        <v>5.8350710900473963</v>
      </c>
      <c r="L16">
        <f t="shared" si="7"/>
        <v>583.50710900473962</v>
      </c>
      <c r="M16">
        <f t="shared" si="4"/>
        <v>23.88</v>
      </c>
      <c r="N16">
        <f t="shared" si="8"/>
        <v>1.7914691943127963</v>
      </c>
      <c r="O16">
        <f t="shared" si="9"/>
        <v>0.34146919431279632</v>
      </c>
      <c r="P16">
        <f t="shared" si="10"/>
        <v>4.0976303317535558</v>
      </c>
      <c r="Q16">
        <f t="shared" si="11"/>
        <v>409.76303317535559</v>
      </c>
      <c r="R16">
        <f t="shared" si="12"/>
        <v>22.68</v>
      </c>
    </row>
    <row r="17" spans="1:18" x14ac:dyDescent="0.25">
      <c r="A17" t="s">
        <v>69</v>
      </c>
      <c r="B17">
        <v>0.8</v>
      </c>
      <c r="C17">
        <v>0.6</v>
      </c>
      <c r="D17">
        <v>1.19</v>
      </c>
      <c r="E17">
        <v>0.99</v>
      </c>
      <c r="F17">
        <v>118</v>
      </c>
      <c r="G17" s="1">
        <f t="shared" si="5"/>
        <v>27.559839101517387</v>
      </c>
      <c r="H17" s="1">
        <f t="shared" si="6"/>
        <v>34.180669251759312</v>
      </c>
      <c r="I17">
        <f t="shared" si="1"/>
        <v>0.93838862559241709</v>
      </c>
      <c r="J17">
        <f t="shared" si="2"/>
        <v>0.33838862559241711</v>
      </c>
      <c r="K17">
        <f t="shared" si="3"/>
        <v>39.929857819905223</v>
      </c>
      <c r="L17">
        <f t="shared" si="7"/>
        <v>3992.9857819905224</v>
      </c>
      <c r="M17">
        <f t="shared" si="4"/>
        <v>116.82</v>
      </c>
      <c r="N17">
        <f t="shared" si="8"/>
        <v>1.127962085308057</v>
      </c>
      <c r="O17">
        <f t="shared" si="9"/>
        <v>0.32796208530805693</v>
      </c>
      <c r="P17">
        <f t="shared" si="10"/>
        <v>38.699526066350714</v>
      </c>
      <c r="Q17">
        <f t="shared" si="11"/>
        <v>3869.9526066350713</v>
      </c>
      <c r="R17">
        <f t="shared" si="12"/>
        <v>140.41999999999999</v>
      </c>
    </row>
    <row r="18" spans="1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1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1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1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1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1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1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1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1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1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1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1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1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1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1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2067" priority="188" operator="lessThan">
      <formula>$C$4</formula>
    </cfRule>
  </conditionalFormatting>
  <conditionalFormatting sqref="C4">
    <cfRule type="cellIs" dxfId="2066" priority="187" operator="lessThan">
      <formula>$B$4</formula>
    </cfRule>
  </conditionalFormatting>
  <conditionalFormatting sqref="B5">
    <cfRule type="cellIs" dxfId="2065" priority="186" operator="lessThan">
      <formula>$C$5</formula>
    </cfRule>
  </conditionalFormatting>
  <conditionalFormatting sqref="C5">
    <cfRule type="cellIs" dxfId="2064" priority="185" operator="lessThan">
      <formula>$B$5</formula>
    </cfRule>
  </conditionalFormatting>
  <conditionalFormatting sqref="B6">
    <cfRule type="cellIs" dxfId="2063" priority="184" operator="lessThan">
      <formula>$C$6</formula>
    </cfRule>
  </conditionalFormatting>
  <conditionalFormatting sqref="C6">
    <cfRule type="cellIs" dxfId="2062" priority="183" operator="lessThan">
      <formula>$B$6</formula>
    </cfRule>
  </conditionalFormatting>
  <conditionalFormatting sqref="B7">
    <cfRule type="cellIs" dxfId="2061" priority="182" operator="lessThan">
      <formula>$C$7</formula>
    </cfRule>
  </conditionalFormatting>
  <conditionalFormatting sqref="C7">
    <cfRule type="cellIs" dxfId="2060" priority="181" operator="lessThan">
      <formula>$B$7</formula>
    </cfRule>
  </conditionalFormatting>
  <conditionalFormatting sqref="B8">
    <cfRule type="cellIs" dxfId="2059" priority="180" operator="lessThan">
      <formula>$C$8</formula>
    </cfRule>
  </conditionalFormatting>
  <conditionalFormatting sqref="C8">
    <cfRule type="cellIs" dxfId="2058" priority="179" operator="lessThan">
      <formula>$B$8</formula>
    </cfRule>
  </conditionalFormatting>
  <conditionalFormatting sqref="B9">
    <cfRule type="cellIs" dxfId="2057" priority="178" operator="lessThan">
      <formula>$C$9</formula>
    </cfRule>
  </conditionalFormatting>
  <conditionalFormatting sqref="C9">
    <cfRule type="cellIs" dxfId="2056" priority="177" operator="lessThan">
      <formula>$B$9</formula>
    </cfRule>
  </conditionalFormatting>
  <conditionalFormatting sqref="B10">
    <cfRule type="cellIs" dxfId="2055" priority="176" operator="lessThan">
      <formula>$C$10</formula>
    </cfRule>
  </conditionalFormatting>
  <conditionalFormatting sqref="C10">
    <cfRule type="cellIs" dxfId="2054" priority="175" operator="lessThan">
      <formula>$B$10</formula>
    </cfRule>
  </conditionalFormatting>
  <conditionalFormatting sqref="B11">
    <cfRule type="cellIs" dxfId="2053" priority="174" operator="lessThan">
      <formula>$C$11</formula>
    </cfRule>
  </conditionalFormatting>
  <conditionalFormatting sqref="C11">
    <cfRule type="cellIs" dxfId="2052" priority="173" operator="lessThan">
      <formula>$B$11</formula>
    </cfRule>
  </conditionalFormatting>
  <conditionalFormatting sqref="B12">
    <cfRule type="cellIs" dxfId="2051" priority="172" operator="lessThan">
      <formula>$C$12</formula>
    </cfRule>
  </conditionalFormatting>
  <conditionalFormatting sqref="C12">
    <cfRule type="cellIs" dxfId="2050" priority="171" operator="lessThan">
      <formula>$B$12</formula>
    </cfRule>
  </conditionalFormatting>
  <conditionalFormatting sqref="B13">
    <cfRule type="cellIs" dxfId="2049" priority="170" operator="lessThan">
      <formula>$C$13</formula>
    </cfRule>
  </conditionalFormatting>
  <conditionalFormatting sqref="C13">
    <cfRule type="cellIs" dxfId="2048" priority="169" operator="lessThan">
      <formula>$B$13</formula>
    </cfRule>
  </conditionalFormatting>
  <conditionalFormatting sqref="B14">
    <cfRule type="cellIs" dxfId="2047" priority="168" operator="lessThan">
      <formula>$C$14</formula>
    </cfRule>
  </conditionalFormatting>
  <conditionalFormatting sqref="C14">
    <cfRule type="cellIs" dxfId="2046" priority="167" operator="lessThan">
      <formula>$B$14</formula>
    </cfRule>
  </conditionalFormatting>
  <conditionalFormatting sqref="B15">
    <cfRule type="cellIs" dxfId="2045" priority="166" operator="lessThan">
      <formula>$C$15</formula>
    </cfRule>
  </conditionalFormatting>
  <conditionalFormatting sqref="C15">
    <cfRule type="cellIs" dxfId="2044" priority="165" operator="lessThan">
      <formula>$B$15</formula>
    </cfRule>
  </conditionalFormatting>
  <conditionalFormatting sqref="B16">
    <cfRule type="cellIs" dxfId="2043" priority="164" operator="lessThan">
      <formula>$C$16</formula>
    </cfRule>
  </conditionalFormatting>
  <conditionalFormatting sqref="C16">
    <cfRule type="cellIs" dxfId="2042" priority="163" operator="lessThan">
      <formula>$B$16</formula>
    </cfRule>
  </conditionalFormatting>
  <conditionalFormatting sqref="B17">
    <cfRule type="cellIs" dxfId="2041" priority="162" operator="lessThan">
      <formula>$C$17</formula>
    </cfRule>
  </conditionalFormatting>
  <conditionalFormatting sqref="C17">
    <cfRule type="cellIs" dxfId="2040" priority="161" operator="lessThan">
      <formula>$B$17</formula>
    </cfRule>
  </conditionalFormatting>
  <conditionalFormatting sqref="B18">
    <cfRule type="cellIs" dxfId="2039" priority="160" operator="lessThan">
      <formula>$C$18</formula>
    </cfRule>
  </conditionalFormatting>
  <conditionalFormatting sqref="C18">
    <cfRule type="cellIs" dxfId="2038" priority="159" operator="lessThan">
      <formula>$B$18</formula>
    </cfRule>
  </conditionalFormatting>
  <conditionalFormatting sqref="C19">
    <cfRule type="cellIs" dxfId="2037" priority="158" operator="lessThan">
      <formula>$B$19</formula>
    </cfRule>
  </conditionalFormatting>
  <conditionalFormatting sqref="B19">
    <cfRule type="cellIs" dxfId="2036" priority="157" operator="lessThan">
      <formula>$C$19</formula>
    </cfRule>
  </conditionalFormatting>
  <conditionalFormatting sqref="B20">
    <cfRule type="cellIs" dxfId="2035" priority="156" operator="lessThan">
      <formula>$C$20</formula>
    </cfRule>
  </conditionalFormatting>
  <conditionalFormatting sqref="C20">
    <cfRule type="cellIs" dxfId="2034" priority="155" operator="lessThan">
      <formula>$B$20</formula>
    </cfRule>
  </conditionalFormatting>
  <conditionalFormatting sqref="B21">
    <cfRule type="cellIs" dxfId="2033" priority="154" operator="lessThan">
      <formula>$C$21</formula>
    </cfRule>
  </conditionalFormatting>
  <conditionalFormatting sqref="C21">
    <cfRule type="cellIs" dxfId="2032" priority="153" operator="lessThan">
      <formula>$B$21</formula>
    </cfRule>
  </conditionalFormatting>
  <conditionalFormatting sqref="B22">
    <cfRule type="cellIs" dxfId="2031" priority="152" operator="lessThan">
      <formula>$C$22</formula>
    </cfRule>
  </conditionalFormatting>
  <conditionalFormatting sqref="C22">
    <cfRule type="cellIs" dxfId="2030" priority="151" operator="lessThan">
      <formula>$B$22</formula>
    </cfRule>
  </conditionalFormatting>
  <conditionalFormatting sqref="B23">
    <cfRule type="cellIs" dxfId="2029" priority="150" operator="lessThan">
      <formula>$C$23</formula>
    </cfRule>
  </conditionalFormatting>
  <conditionalFormatting sqref="C23">
    <cfRule type="cellIs" dxfId="2028" priority="149" operator="lessThan">
      <formula>$B$23</formula>
    </cfRule>
  </conditionalFormatting>
  <conditionalFormatting sqref="B24">
    <cfRule type="cellIs" dxfId="2027" priority="148" operator="lessThan">
      <formula>$C$24</formula>
    </cfRule>
  </conditionalFormatting>
  <conditionalFormatting sqref="C24">
    <cfRule type="cellIs" dxfId="2026" priority="147" operator="lessThan">
      <formula>$B$24</formula>
    </cfRule>
  </conditionalFormatting>
  <conditionalFormatting sqref="B25">
    <cfRule type="cellIs" dxfId="2025" priority="146" operator="lessThan">
      <formula>$C$25</formula>
    </cfRule>
  </conditionalFormatting>
  <conditionalFormatting sqref="C25">
    <cfRule type="cellIs" dxfId="2024" priority="145" operator="lessThan">
      <formula>$B$25</formula>
    </cfRule>
  </conditionalFormatting>
  <conditionalFormatting sqref="B26">
    <cfRule type="cellIs" dxfId="2023" priority="144" operator="lessThan">
      <formula>$C$26</formula>
    </cfRule>
  </conditionalFormatting>
  <conditionalFormatting sqref="C26">
    <cfRule type="cellIs" dxfId="2022" priority="143" operator="lessThan">
      <formula>$B$26</formula>
    </cfRule>
  </conditionalFormatting>
  <conditionalFormatting sqref="B27">
    <cfRule type="cellIs" dxfId="2021" priority="142" operator="lessThan">
      <formula>$C$27</formula>
    </cfRule>
  </conditionalFormatting>
  <conditionalFormatting sqref="C27">
    <cfRule type="cellIs" dxfId="2020" priority="141" operator="lessThan">
      <formula>$B$27</formula>
    </cfRule>
  </conditionalFormatting>
  <conditionalFormatting sqref="B28">
    <cfRule type="cellIs" dxfId="2019" priority="140" operator="lessThan">
      <formula>$C$28</formula>
    </cfRule>
  </conditionalFormatting>
  <conditionalFormatting sqref="C28">
    <cfRule type="cellIs" dxfId="2018" priority="139" operator="lessThan">
      <formula>$B$28</formula>
    </cfRule>
  </conditionalFormatting>
  <conditionalFormatting sqref="B29">
    <cfRule type="cellIs" dxfId="2017" priority="138" operator="lessThan">
      <formula>$C$29</formula>
    </cfRule>
  </conditionalFormatting>
  <conditionalFormatting sqref="C29">
    <cfRule type="cellIs" dxfId="2016" priority="137" operator="lessThan">
      <formula>$B$29</formula>
    </cfRule>
  </conditionalFormatting>
  <conditionalFormatting sqref="B30">
    <cfRule type="cellIs" dxfId="2015" priority="136" operator="lessThan">
      <formula>$C$30</formula>
    </cfRule>
  </conditionalFormatting>
  <conditionalFormatting sqref="C30">
    <cfRule type="cellIs" dxfId="2014" priority="135" operator="lessThan">
      <formula>$B$30</formula>
    </cfRule>
  </conditionalFormatting>
  <conditionalFormatting sqref="B31">
    <cfRule type="cellIs" dxfId="2013" priority="134" operator="lessThan">
      <formula>$C$31</formula>
    </cfRule>
  </conditionalFormatting>
  <conditionalFormatting sqref="C31">
    <cfRule type="cellIs" dxfId="2012" priority="133" operator="lessThan">
      <formula>$B$31</formula>
    </cfRule>
  </conditionalFormatting>
  <conditionalFormatting sqref="B32">
    <cfRule type="cellIs" dxfId="2011" priority="132" operator="lessThan">
      <formula>$C$32</formula>
    </cfRule>
  </conditionalFormatting>
  <conditionalFormatting sqref="C32">
    <cfRule type="cellIs" dxfId="2010" priority="131" operator="lessThan">
      <formula>$B$32</formula>
    </cfRule>
  </conditionalFormatting>
  <conditionalFormatting sqref="B33">
    <cfRule type="cellIs" dxfId="2009" priority="130" operator="lessThan">
      <formula>$C$33</formula>
    </cfRule>
  </conditionalFormatting>
  <conditionalFormatting sqref="C33">
    <cfRule type="cellIs" dxfId="2008" priority="129" operator="lessThan">
      <formula>$B$33</formula>
    </cfRule>
  </conditionalFormatting>
  <conditionalFormatting sqref="B34">
    <cfRule type="cellIs" dxfId="2007" priority="128" operator="lessThan">
      <formula>$C$34</formula>
    </cfRule>
  </conditionalFormatting>
  <conditionalFormatting sqref="C34">
    <cfRule type="cellIs" dxfId="2006" priority="127" operator="lessThan">
      <formula>$B$34</formula>
    </cfRule>
  </conditionalFormatting>
  <conditionalFormatting sqref="B35">
    <cfRule type="cellIs" dxfId="2005" priority="126" operator="lessThan">
      <formula>$C$35</formula>
    </cfRule>
  </conditionalFormatting>
  <conditionalFormatting sqref="C35">
    <cfRule type="cellIs" dxfId="2004" priority="125" operator="lessThan">
      <formula>$B$35</formula>
    </cfRule>
  </conditionalFormatting>
  <conditionalFormatting sqref="B36">
    <cfRule type="cellIs" dxfId="2003" priority="124" operator="lessThan">
      <formula>$C$36</formula>
    </cfRule>
  </conditionalFormatting>
  <conditionalFormatting sqref="C36">
    <cfRule type="cellIs" dxfId="2002" priority="123" operator="lessThan">
      <formula>$B$36</formula>
    </cfRule>
  </conditionalFormatting>
  <conditionalFormatting sqref="B37">
    <cfRule type="cellIs" dxfId="2001" priority="122" operator="lessThan">
      <formula>$C$37</formula>
    </cfRule>
  </conditionalFormatting>
  <conditionalFormatting sqref="C37">
    <cfRule type="cellIs" dxfId="2000" priority="121" operator="lessThan">
      <formula>$B$37</formula>
    </cfRule>
  </conditionalFormatting>
  <conditionalFormatting sqref="B38">
    <cfRule type="cellIs" dxfId="1999" priority="120" operator="lessThan">
      <formula>$C$38</formula>
    </cfRule>
  </conditionalFormatting>
  <conditionalFormatting sqref="C38">
    <cfRule type="cellIs" dxfId="1998" priority="119" operator="lessThan">
      <formula>$B$38</formula>
    </cfRule>
  </conditionalFormatting>
  <conditionalFormatting sqref="B39">
    <cfRule type="cellIs" dxfId="1997" priority="118" operator="lessThan">
      <formula>$C$39</formula>
    </cfRule>
  </conditionalFormatting>
  <conditionalFormatting sqref="C39">
    <cfRule type="cellIs" dxfId="1996" priority="117" operator="lessThan">
      <formula>$B$39</formula>
    </cfRule>
  </conditionalFormatting>
  <conditionalFormatting sqref="B40">
    <cfRule type="cellIs" dxfId="1995" priority="116" operator="lessThan">
      <formula>$C$40</formula>
    </cfRule>
  </conditionalFormatting>
  <conditionalFormatting sqref="C40">
    <cfRule type="cellIs" dxfId="1994" priority="115" operator="lessThan">
      <formula>$B$40</formula>
    </cfRule>
  </conditionalFormatting>
  <conditionalFormatting sqref="B41">
    <cfRule type="cellIs" dxfId="1993" priority="114" operator="lessThan">
      <formula>$C$41</formula>
    </cfRule>
  </conditionalFormatting>
  <conditionalFormatting sqref="C41">
    <cfRule type="cellIs" dxfId="1992" priority="113" operator="lessThan">
      <formula>$B$41</formula>
    </cfRule>
  </conditionalFormatting>
  <conditionalFormatting sqref="B42">
    <cfRule type="cellIs" dxfId="1991" priority="112" operator="lessThan">
      <formula>$C$42</formula>
    </cfRule>
  </conditionalFormatting>
  <conditionalFormatting sqref="C42">
    <cfRule type="cellIs" dxfId="1990" priority="111" operator="lessThan">
      <formula>$B$42</formula>
    </cfRule>
  </conditionalFormatting>
  <conditionalFormatting sqref="B43">
    <cfRule type="cellIs" dxfId="1989" priority="110" operator="lessThan">
      <formula>$C$43</formula>
    </cfRule>
  </conditionalFormatting>
  <conditionalFormatting sqref="C43">
    <cfRule type="cellIs" dxfId="1988" priority="109" operator="lessThan">
      <formula>$B$43</formula>
    </cfRule>
  </conditionalFormatting>
  <conditionalFormatting sqref="B44">
    <cfRule type="cellIs" dxfId="1987" priority="108" operator="lessThan">
      <formula>$C$44</formula>
    </cfRule>
  </conditionalFormatting>
  <conditionalFormatting sqref="C44">
    <cfRule type="cellIs" dxfId="1986" priority="107" operator="lessThan">
      <formula>$B$44</formula>
    </cfRule>
  </conditionalFormatting>
  <conditionalFormatting sqref="B45">
    <cfRule type="cellIs" dxfId="1985" priority="106" operator="lessThan">
      <formula>$C$45</formula>
    </cfRule>
  </conditionalFormatting>
  <conditionalFormatting sqref="C45">
    <cfRule type="cellIs" dxfId="1984" priority="105" operator="lessThan">
      <formula>$B$45</formula>
    </cfRule>
  </conditionalFormatting>
  <conditionalFormatting sqref="B46">
    <cfRule type="cellIs" dxfId="1983" priority="104" operator="lessThan">
      <formula>$C$46</formula>
    </cfRule>
  </conditionalFormatting>
  <conditionalFormatting sqref="C46">
    <cfRule type="cellIs" dxfId="1982" priority="103" operator="lessThan">
      <formula>$B$46</formula>
    </cfRule>
  </conditionalFormatting>
  <conditionalFormatting sqref="B47">
    <cfRule type="cellIs" dxfId="1981" priority="102" operator="lessThan">
      <formula>$C$47</formula>
    </cfRule>
  </conditionalFormatting>
  <conditionalFormatting sqref="C47">
    <cfRule type="cellIs" dxfId="1980" priority="101" operator="lessThan">
      <formula>$B$47</formula>
    </cfRule>
  </conditionalFormatting>
  <conditionalFormatting sqref="B48">
    <cfRule type="cellIs" dxfId="1979" priority="100" operator="lessThan">
      <formula>$C$48</formula>
    </cfRule>
  </conditionalFormatting>
  <conditionalFormatting sqref="C48">
    <cfRule type="cellIs" dxfId="1978" priority="99" operator="lessThan">
      <formula>$B$48</formula>
    </cfRule>
  </conditionalFormatting>
  <conditionalFormatting sqref="B49">
    <cfRule type="cellIs" dxfId="1977" priority="98" operator="lessThan">
      <formula>$C$49</formula>
    </cfRule>
  </conditionalFormatting>
  <conditionalFormatting sqref="C49">
    <cfRule type="cellIs" dxfId="1976" priority="97" operator="lessThan">
      <formula>$B$49</formula>
    </cfRule>
  </conditionalFormatting>
  <conditionalFormatting sqref="B50">
    <cfRule type="cellIs" dxfId="1975" priority="96" operator="lessThan">
      <formula>$C$50</formula>
    </cfRule>
  </conditionalFormatting>
  <conditionalFormatting sqref="C50">
    <cfRule type="cellIs" dxfId="1974" priority="95" operator="lessThan">
      <formula>$B$50</formula>
    </cfRule>
  </conditionalFormatting>
  <conditionalFormatting sqref="D4">
    <cfRule type="cellIs" dxfId="1973" priority="94" operator="lessThan">
      <formula>$E$4</formula>
    </cfRule>
  </conditionalFormatting>
  <conditionalFormatting sqref="E4">
    <cfRule type="cellIs" dxfId="1972" priority="93" operator="lessThan">
      <formula>$D$4</formula>
    </cfRule>
  </conditionalFormatting>
  <conditionalFormatting sqref="D5">
    <cfRule type="cellIs" dxfId="1971" priority="92" operator="lessThan">
      <formula>$E$5</formula>
    </cfRule>
  </conditionalFormatting>
  <conditionalFormatting sqref="E5">
    <cfRule type="cellIs" dxfId="1970" priority="91" operator="lessThan">
      <formula>$D$5</formula>
    </cfRule>
  </conditionalFormatting>
  <conditionalFormatting sqref="D6">
    <cfRule type="cellIs" dxfId="1969" priority="90" operator="lessThan">
      <formula>$E$6</formula>
    </cfRule>
  </conditionalFormatting>
  <conditionalFormatting sqref="E6">
    <cfRule type="cellIs" dxfId="1968" priority="89" operator="lessThan">
      <formula>$D$6</formula>
    </cfRule>
  </conditionalFormatting>
  <conditionalFormatting sqref="D7">
    <cfRule type="cellIs" dxfId="1967" priority="88" operator="lessThan">
      <formula>$E$7</formula>
    </cfRule>
  </conditionalFormatting>
  <conditionalFormatting sqref="E7">
    <cfRule type="cellIs" dxfId="1966" priority="87" operator="lessThan">
      <formula>$D$7</formula>
    </cfRule>
  </conditionalFormatting>
  <conditionalFormatting sqref="D8">
    <cfRule type="cellIs" dxfId="1965" priority="86" operator="lessThan">
      <formula>$E$8</formula>
    </cfRule>
  </conditionalFormatting>
  <conditionalFormatting sqref="E8">
    <cfRule type="cellIs" dxfId="1964" priority="85" operator="lessThan">
      <formula>$D$8</formula>
    </cfRule>
  </conditionalFormatting>
  <conditionalFormatting sqref="D9">
    <cfRule type="cellIs" dxfId="1963" priority="84" operator="lessThan">
      <formula>$E$9</formula>
    </cfRule>
  </conditionalFormatting>
  <conditionalFormatting sqref="E9">
    <cfRule type="cellIs" dxfId="1962" priority="83" operator="lessThan">
      <formula>$D$9</formula>
    </cfRule>
  </conditionalFormatting>
  <conditionalFormatting sqref="D10">
    <cfRule type="cellIs" dxfId="1961" priority="82" operator="lessThan">
      <formula>$E$10</formula>
    </cfRule>
  </conditionalFormatting>
  <conditionalFormatting sqref="E10">
    <cfRule type="cellIs" dxfId="1960" priority="81" operator="lessThan">
      <formula>$D$10</formula>
    </cfRule>
  </conditionalFormatting>
  <conditionalFormatting sqref="D11">
    <cfRule type="cellIs" dxfId="1959" priority="80" operator="lessThan">
      <formula>$E$11</formula>
    </cfRule>
  </conditionalFormatting>
  <conditionalFormatting sqref="E11">
    <cfRule type="cellIs" dxfId="1958" priority="79" operator="lessThan">
      <formula>$D$11</formula>
    </cfRule>
  </conditionalFormatting>
  <conditionalFormatting sqref="D12">
    <cfRule type="cellIs" dxfId="1957" priority="78" operator="lessThan">
      <formula>$E$12</formula>
    </cfRule>
  </conditionalFormatting>
  <conditionalFormatting sqref="E12">
    <cfRule type="cellIs" dxfId="1956" priority="77" operator="lessThan">
      <formula>$D$12</formula>
    </cfRule>
  </conditionalFormatting>
  <conditionalFormatting sqref="D13">
    <cfRule type="cellIs" dxfId="1955" priority="76" operator="lessThan">
      <formula>$E$13</formula>
    </cfRule>
  </conditionalFormatting>
  <conditionalFormatting sqref="E13">
    <cfRule type="cellIs" dxfId="1954" priority="75" operator="lessThan">
      <formula>$D$13</formula>
    </cfRule>
  </conditionalFormatting>
  <conditionalFormatting sqref="D14">
    <cfRule type="cellIs" dxfId="1953" priority="74" operator="lessThan">
      <formula>$E$14</formula>
    </cfRule>
  </conditionalFormatting>
  <conditionalFormatting sqref="E14">
    <cfRule type="cellIs" dxfId="1952" priority="73" operator="lessThan">
      <formula>$D$14</formula>
    </cfRule>
  </conditionalFormatting>
  <conditionalFormatting sqref="D15">
    <cfRule type="cellIs" dxfId="1951" priority="72" operator="lessThan">
      <formula>$E$15</formula>
    </cfRule>
  </conditionalFormatting>
  <conditionalFormatting sqref="E15">
    <cfRule type="cellIs" dxfId="1950" priority="71" operator="lessThan">
      <formula>$D$15</formula>
    </cfRule>
  </conditionalFormatting>
  <conditionalFormatting sqref="D16">
    <cfRule type="cellIs" dxfId="1949" priority="70" operator="lessThan">
      <formula>$E$16</formula>
    </cfRule>
  </conditionalFormatting>
  <conditionalFormatting sqref="E16">
    <cfRule type="cellIs" dxfId="1948" priority="69" operator="lessThan">
      <formula>$D$16</formula>
    </cfRule>
  </conditionalFormatting>
  <conditionalFormatting sqref="D17">
    <cfRule type="cellIs" dxfId="1947" priority="68" operator="lessThan">
      <formula>$E$17</formula>
    </cfRule>
  </conditionalFormatting>
  <conditionalFormatting sqref="E17">
    <cfRule type="cellIs" dxfId="1946" priority="67" operator="lessThan">
      <formula>$D$17</formula>
    </cfRule>
  </conditionalFormatting>
  <conditionalFormatting sqref="D18">
    <cfRule type="cellIs" dxfId="1945" priority="66" operator="lessThan">
      <formula>$E$18</formula>
    </cfRule>
  </conditionalFormatting>
  <conditionalFormatting sqref="E18">
    <cfRule type="cellIs" dxfId="1944" priority="65" operator="lessThan">
      <formula>$D$18</formula>
    </cfRule>
  </conditionalFormatting>
  <conditionalFormatting sqref="D19">
    <cfRule type="cellIs" dxfId="1943" priority="64" operator="lessThan">
      <formula>$E$19</formula>
    </cfRule>
  </conditionalFormatting>
  <conditionalFormatting sqref="E19">
    <cfRule type="cellIs" dxfId="1942" priority="63" operator="lessThan">
      <formula>$D$19</formula>
    </cfRule>
  </conditionalFormatting>
  <conditionalFormatting sqref="D20">
    <cfRule type="cellIs" dxfId="1941" priority="62" operator="lessThan">
      <formula>$E$20</formula>
    </cfRule>
  </conditionalFormatting>
  <conditionalFormatting sqref="E20">
    <cfRule type="cellIs" dxfId="1940" priority="61" operator="lessThan">
      <formula>$D$20</formula>
    </cfRule>
  </conditionalFormatting>
  <conditionalFormatting sqref="D21">
    <cfRule type="cellIs" dxfId="1939" priority="60" operator="lessThan">
      <formula>$E$21</formula>
    </cfRule>
  </conditionalFormatting>
  <conditionalFormatting sqref="E21">
    <cfRule type="cellIs" dxfId="1938" priority="59" operator="lessThan">
      <formula>$D$21</formula>
    </cfRule>
  </conditionalFormatting>
  <conditionalFormatting sqref="D22">
    <cfRule type="cellIs" dxfId="1937" priority="58" operator="lessThan">
      <formula>$E$22</formula>
    </cfRule>
  </conditionalFormatting>
  <conditionalFormatting sqref="E22">
    <cfRule type="cellIs" dxfId="1936" priority="57" operator="lessThan">
      <formula>$D$22</formula>
    </cfRule>
  </conditionalFormatting>
  <conditionalFormatting sqref="D23">
    <cfRule type="cellIs" dxfId="1935" priority="56" operator="lessThan">
      <formula>$E$23</formula>
    </cfRule>
  </conditionalFormatting>
  <conditionalFormatting sqref="E23">
    <cfRule type="cellIs" dxfId="1934" priority="55" operator="lessThan">
      <formula>$D$23</formula>
    </cfRule>
  </conditionalFormatting>
  <conditionalFormatting sqref="D24">
    <cfRule type="cellIs" dxfId="1933" priority="54" operator="lessThan">
      <formula>$E$24</formula>
    </cfRule>
  </conditionalFormatting>
  <conditionalFormatting sqref="E24">
    <cfRule type="cellIs" dxfId="1932" priority="53" operator="lessThan">
      <formula>$D$24</formula>
    </cfRule>
  </conditionalFormatting>
  <conditionalFormatting sqref="D25">
    <cfRule type="cellIs" dxfId="1931" priority="52" operator="lessThan">
      <formula>$E$25</formula>
    </cfRule>
  </conditionalFormatting>
  <conditionalFormatting sqref="E25">
    <cfRule type="cellIs" dxfId="1930" priority="51" operator="lessThan">
      <formula>$D$25</formula>
    </cfRule>
  </conditionalFormatting>
  <conditionalFormatting sqref="D26">
    <cfRule type="cellIs" dxfId="1929" priority="50" operator="lessThan">
      <formula>$E$26</formula>
    </cfRule>
  </conditionalFormatting>
  <conditionalFormatting sqref="E26">
    <cfRule type="cellIs" dxfId="1928" priority="49" operator="lessThan">
      <formula>$D$26</formula>
    </cfRule>
  </conditionalFormatting>
  <conditionalFormatting sqref="D27">
    <cfRule type="cellIs" dxfId="1927" priority="48" operator="lessThan">
      <formula>$E$27</formula>
    </cfRule>
  </conditionalFormatting>
  <conditionalFormatting sqref="E27">
    <cfRule type="cellIs" dxfId="1926" priority="47" operator="lessThan">
      <formula>$D$27</formula>
    </cfRule>
  </conditionalFormatting>
  <conditionalFormatting sqref="D28">
    <cfRule type="cellIs" dxfId="1925" priority="46" operator="lessThan">
      <formula>$E$28</formula>
    </cfRule>
  </conditionalFormatting>
  <conditionalFormatting sqref="E28">
    <cfRule type="cellIs" dxfId="1924" priority="45" operator="lessThan">
      <formula>$D$28</formula>
    </cfRule>
  </conditionalFormatting>
  <conditionalFormatting sqref="D29">
    <cfRule type="cellIs" dxfId="1923" priority="44" operator="lessThan">
      <formula>$E$29</formula>
    </cfRule>
  </conditionalFormatting>
  <conditionalFormatting sqref="E29">
    <cfRule type="cellIs" dxfId="1922" priority="43" operator="lessThan">
      <formula>$D$29</formula>
    </cfRule>
  </conditionalFormatting>
  <conditionalFormatting sqref="D30">
    <cfRule type="cellIs" dxfId="1921" priority="42" operator="lessThan">
      <formula>$E$30</formula>
    </cfRule>
  </conditionalFormatting>
  <conditionalFormatting sqref="E30">
    <cfRule type="cellIs" dxfId="1920" priority="41" operator="lessThan">
      <formula>$D$30</formula>
    </cfRule>
  </conditionalFormatting>
  <conditionalFormatting sqref="D31">
    <cfRule type="cellIs" dxfId="1919" priority="40" operator="lessThan">
      <formula>$E$31</formula>
    </cfRule>
  </conditionalFormatting>
  <conditionalFormatting sqref="E31">
    <cfRule type="cellIs" dxfId="1918" priority="39" operator="lessThan">
      <formula>$D$31</formula>
    </cfRule>
  </conditionalFormatting>
  <conditionalFormatting sqref="D32">
    <cfRule type="cellIs" dxfId="1917" priority="38" operator="lessThan">
      <formula>$E$32</formula>
    </cfRule>
  </conditionalFormatting>
  <conditionalFormatting sqref="E32">
    <cfRule type="cellIs" dxfId="1916" priority="37" operator="lessThan">
      <formula>$D$32</formula>
    </cfRule>
  </conditionalFormatting>
  <conditionalFormatting sqref="D33">
    <cfRule type="cellIs" dxfId="1915" priority="36" operator="lessThan">
      <formula>$E$33</formula>
    </cfRule>
  </conditionalFormatting>
  <conditionalFormatting sqref="E33">
    <cfRule type="cellIs" dxfId="1914" priority="35" operator="lessThan">
      <formula>$D$33</formula>
    </cfRule>
  </conditionalFormatting>
  <conditionalFormatting sqref="D34">
    <cfRule type="cellIs" dxfId="1913" priority="34" operator="lessThan">
      <formula>$E$34</formula>
    </cfRule>
  </conditionalFormatting>
  <conditionalFormatting sqref="E34">
    <cfRule type="cellIs" dxfId="1912" priority="33" operator="lessThan">
      <formula>$D$34</formula>
    </cfRule>
  </conditionalFormatting>
  <conditionalFormatting sqref="D35">
    <cfRule type="cellIs" dxfId="1911" priority="32" operator="lessThan">
      <formula>$E$35</formula>
    </cfRule>
  </conditionalFormatting>
  <conditionalFormatting sqref="E35">
    <cfRule type="cellIs" dxfId="1910" priority="31" operator="lessThan">
      <formula>$D$35</formula>
    </cfRule>
  </conditionalFormatting>
  <conditionalFormatting sqref="D36">
    <cfRule type="cellIs" dxfId="1909" priority="30" operator="lessThan">
      <formula>$E$36</formula>
    </cfRule>
  </conditionalFormatting>
  <conditionalFormatting sqref="E36">
    <cfRule type="cellIs" dxfId="1908" priority="29" operator="lessThan">
      <formula>$D$36</formula>
    </cfRule>
  </conditionalFormatting>
  <conditionalFormatting sqref="D37">
    <cfRule type="cellIs" dxfId="1907" priority="28" operator="lessThan">
      <formula>$E$37</formula>
    </cfRule>
  </conditionalFormatting>
  <conditionalFormatting sqref="E37">
    <cfRule type="cellIs" dxfId="1906" priority="27" operator="lessThan">
      <formula>$D$37</formula>
    </cfRule>
  </conditionalFormatting>
  <conditionalFormatting sqref="D38">
    <cfRule type="cellIs" dxfId="1905" priority="26" operator="lessThan">
      <formula>$E$38</formula>
    </cfRule>
  </conditionalFormatting>
  <conditionalFormatting sqref="E38">
    <cfRule type="cellIs" dxfId="1904" priority="25" operator="lessThan">
      <formula>$D$38</formula>
    </cfRule>
  </conditionalFormatting>
  <conditionalFormatting sqref="D39">
    <cfRule type="cellIs" dxfId="1903" priority="24" operator="lessThan">
      <formula>$E$39</formula>
    </cfRule>
  </conditionalFormatting>
  <conditionalFormatting sqref="E39">
    <cfRule type="cellIs" dxfId="1902" priority="23" operator="lessThan">
      <formula>$D$39</formula>
    </cfRule>
  </conditionalFormatting>
  <conditionalFormatting sqref="D40">
    <cfRule type="cellIs" dxfId="1901" priority="22" operator="lessThan">
      <formula>$E$40</formula>
    </cfRule>
  </conditionalFormatting>
  <conditionalFormatting sqref="E40">
    <cfRule type="cellIs" dxfId="1900" priority="21" operator="lessThan">
      <formula>$D$40</formula>
    </cfRule>
  </conditionalFormatting>
  <conditionalFormatting sqref="D41">
    <cfRule type="cellIs" dxfId="1899" priority="20" operator="lessThan">
      <formula>$E$41</formula>
    </cfRule>
  </conditionalFormatting>
  <conditionalFormatting sqref="E41">
    <cfRule type="cellIs" dxfId="1898" priority="19" operator="lessThan">
      <formula>$D$41</formula>
    </cfRule>
  </conditionalFormatting>
  <conditionalFormatting sqref="D42">
    <cfRule type="cellIs" dxfId="1897" priority="18" operator="lessThan">
      <formula>$E$42</formula>
    </cfRule>
  </conditionalFormatting>
  <conditionalFormatting sqref="E42">
    <cfRule type="cellIs" dxfId="1896" priority="17" operator="lessThan">
      <formula>$D$42</formula>
    </cfRule>
  </conditionalFormatting>
  <conditionalFormatting sqref="D43">
    <cfRule type="cellIs" dxfId="1895" priority="16" operator="lessThan">
      <formula>$E$43</formula>
    </cfRule>
  </conditionalFormatting>
  <conditionalFormatting sqref="E43">
    <cfRule type="cellIs" dxfId="1894" priority="15" operator="lessThan">
      <formula>$D$43</formula>
    </cfRule>
  </conditionalFormatting>
  <conditionalFormatting sqref="D44">
    <cfRule type="cellIs" dxfId="1893" priority="14" operator="lessThan">
      <formula>$E$44</formula>
    </cfRule>
  </conditionalFormatting>
  <conditionalFormatting sqref="E44">
    <cfRule type="cellIs" dxfId="1892" priority="13" operator="lessThan">
      <formula>$D$44</formula>
    </cfRule>
  </conditionalFormatting>
  <conditionalFormatting sqref="D45">
    <cfRule type="cellIs" dxfId="1891" priority="12" operator="lessThan">
      <formula>$E$45</formula>
    </cfRule>
  </conditionalFormatting>
  <conditionalFormatting sqref="E45">
    <cfRule type="cellIs" dxfId="1890" priority="11" operator="lessThan">
      <formula>$D$45</formula>
    </cfRule>
  </conditionalFormatting>
  <conditionalFormatting sqref="D46">
    <cfRule type="cellIs" dxfId="1889" priority="10" operator="lessThan">
      <formula>$E$46</formula>
    </cfRule>
  </conditionalFormatting>
  <conditionalFormatting sqref="E46">
    <cfRule type="cellIs" dxfId="1888" priority="9" operator="lessThan">
      <formula>$D$46</formula>
    </cfRule>
  </conditionalFormatting>
  <conditionalFormatting sqref="D47">
    <cfRule type="cellIs" dxfId="1887" priority="8" operator="lessThan">
      <formula>$E$47</formula>
    </cfRule>
  </conditionalFormatting>
  <conditionalFormatting sqref="E47">
    <cfRule type="cellIs" dxfId="1886" priority="7" operator="lessThan">
      <formula>$D$47</formula>
    </cfRule>
  </conditionalFormatting>
  <conditionalFormatting sqref="D48">
    <cfRule type="cellIs" dxfId="1885" priority="6" operator="lessThan">
      <formula>$E$48</formula>
    </cfRule>
  </conditionalFormatting>
  <conditionalFormatting sqref="E48">
    <cfRule type="cellIs" dxfId="1884" priority="5" operator="lessThan">
      <formula>$D$48</formula>
    </cfRule>
  </conditionalFormatting>
  <conditionalFormatting sqref="D49">
    <cfRule type="cellIs" dxfId="1883" priority="4" operator="lessThan">
      <formula>$E$49</formula>
    </cfRule>
  </conditionalFormatting>
  <conditionalFormatting sqref="E49">
    <cfRule type="cellIs" dxfId="1882" priority="3" operator="lessThan">
      <formula>$D$49</formula>
    </cfRule>
  </conditionalFormatting>
  <conditionalFormatting sqref="D50">
    <cfRule type="cellIs" dxfId="1881" priority="2" operator="lessThan">
      <formula>$E$50</formula>
    </cfRule>
  </conditionalFormatting>
  <conditionalFormatting sqref="E50">
    <cfRule type="cellIs" dxfId="1880" priority="1" operator="lessThan">
      <formula>$D$50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0" sqref="D10"/>
    </sheetView>
  </sheetViews>
  <sheetFormatPr baseColWidth="10" defaultRowHeight="15" x14ac:dyDescent="0.25"/>
  <sheetData>
    <row r="1" spans="1:18" x14ac:dyDescent="0.25">
      <c r="A1" s="1"/>
      <c r="B1" s="2">
        <f>AVERAGE(B4:B38)</f>
        <v>1.8276923076923077</v>
      </c>
      <c r="C1" s="2">
        <f>AVERAGE(C4:C30)</f>
        <v>1.6753846153846155</v>
      </c>
      <c r="D1" s="2">
        <f>AVERAGE(D4:D60)</f>
        <v>2.5649999999999999</v>
      </c>
      <c r="E1" s="2">
        <f>AVERAGE(E4:E60)</f>
        <v>2.7592307692307694</v>
      </c>
      <c r="F1" s="1">
        <f>SUM(F4:F50)</f>
        <v>509.738</v>
      </c>
      <c r="G1" s="1">
        <f>D1-E1</f>
        <v>-0.19423076923076943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24.082347734490096</v>
      </c>
      <c r="H3" s="2">
        <f>L3/M3</f>
        <v>30.930435917606154</v>
      </c>
      <c r="I3" s="4">
        <f t="shared" ref="I3:R3" si="0">SUM(I4:I50)</f>
        <v>34</v>
      </c>
      <c r="J3" s="4">
        <f t="shared" si="0"/>
        <v>12.220000000000006</v>
      </c>
      <c r="K3" s="4">
        <f t="shared" si="0"/>
        <v>279.25686966824657</v>
      </c>
      <c r="L3" s="4">
        <f t="shared" si="0"/>
        <v>27925.686966824651</v>
      </c>
      <c r="M3" s="4">
        <f t="shared" si="0"/>
        <v>902.85461999999984</v>
      </c>
      <c r="N3" s="4">
        <f t="shared" si="0"/>
        <v>29.175355450236971</v>
      </c>
      <c r="O3" s="4">
        <f t="shared" si="0"/>
        <v>5.4153554502369703</v>
      </c>
      <c r="P3" s="4">
        <f t="shared" si="0"/>
        <v>221.93198815165886</v>
      </c>
      <c r="Q3" s="4">
        <f t="shared" si="0"/>
        <v>22193.198815165881</v>
      </c>
      <c r="R3" s="4">
        <f t="shared" si="0"/>
        <v>921.55462</v>
      </c>
    </row>
    <row r="4" spans="1:18" x14ac:dyDescent="0.25">
      <c r="A4" t="s">
        <v>42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43</v>
      </c>
      <c r="B5">
        <v>2.59</v>
      </c>
      <c r="C5">
        <v>1.6</v>
      </c>
      <c r="D5">
        <v>3.99</v>
      </c>
      <c r="E5">
        <v>4.99</v>
      </c>
      <c r="F5">
        <v>5</v>
      </c>
      <c r="G5" s="1">
        <f t="shared" ref="G5:G51" si="5">Q5/R5</f>
        <v>29.874449156065531</v>
      </c>
      <c r="H5" s="1">
        <f t="shared" ref="H5:H51" si="6">L5/M5</f>
        <v>62.722601601306877</v>
      </c>
      <c r="I5">
        <f t="shared" si="1"/>
        <v>4.7298578199052139</v>
      </c>
      <c r="J5">
        <f t="shared" si="2"/>
        <v>3.1298578199052138</v>
      </c>
      <c r="K5">
        <f t="shared" si="3"/>
        <v>15.649289099526069</v>
      </c>
      <c r="L5">
        <f t="shared" ref="L5:L51" si="7">K5*100</f>
        <v>1564.9289099526068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5.959952606635075</v>
      </c>
      <c r="Q5">
        <f t="shared" ref="Q5:Q51" si="11">P5*100</f>
        <v>595.99526066350745</v>
      </c>
      <c r="R5">
        <f t="shared" ref="R5:R51" si="12">D5*F5</f>
        <v>19.950000000000003</v>
      </c>
    </row>
    <row r="6" spans="1:18" x14ac:dyDescent="0.25">
      <c r="A6" t="s">
        <v>72</v>
      </c>
      <c r="B6">
        <v>1.45</v>
      </c>
      <c r="C6">
        <v>1.4</v>
      </c>
      <c r="D6">
        <v>1.89</v>
      </c>
      <c r="E6">
        <v>1.99</v>
      </c>
      <c r="F6">
        <v>24</v>
      </c>
      <c r="G6" s="1">
        <f t="shared" si="5"/>
        <v>18.067153138243192</v>
      </c>
      <c r="H6" s="1">
        <f t="shared" si="6"/>
        <v>24.434971063850067</v>
      </c>
      <c r="I6">
        <f t="shared" si="1"/>
        <v>1.8862559241706163</v>
      </c>
      <c r="J6">
        <f t="shared" si="2"/>
        <v>0.48625592417061636</v>
      </c>
      <c r="K6">
        <f t="shared" si="3"/>
        <v>11.670142180094793</v>
      </c>
      <c r="L6">
        <f t="shared" si="7"/>
        <v>1167.0142180094792</v>
      </c>
      <c r="M6">
        <f t="shared" si="4"/>
        <v>47.76</v>
      </c>
      <c r="N6">
        <f t="shared" si="8"/>
        <v>1.7914691943127963</v>
      </c>
      <c r="O6">
        <f t="shared" si="9"/>
        <v>0.34146919431279632</v>
      </c>
      <c r="P6">
        <f t="shared" si="10"/>
        <v>8.1952606635071117</v>
      </c>
      <c r="Q6">
        <f t="shared" si="11"/>
        <v>819.52606635071118</v>
      </c>
      <c r="R6">
        <f t="shared" si="12"/>
        <v>45.36</v>
      </c>
    </row>
    <row r="7" spans="1:18" x14ac:dyDescent="0.25">
      <c r="A7" t="s">
        <v>61</v>
      </c>
      <c r="B7">
        <v>1.45</v>
      </c>
      <c r="C7">
        <v>1.4</v>
      </c>
      <c r="D7">
        <v>1.89</v>
      </c>
      <c r="E7">
        <v>1.99</v>
      </c>
      <c r="F7">
        <v>24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11.670142180094793</v>
      </c>
      <c r="L7">
        <f t="shared" si="7"/>
        <v>1167.0142180094792</v>
      </c>
      <c r="M7">
        <f t="shared" si="4"/>
        <v>47.76</v>
      </c>
      <c r="N7">
        <f t="shared" si="8"/>
        <v>1.7914691943127963</v>
      </c>
      <c r="O7">
        <f t="shared" si="9"/>
        <v>0.34146919431279632</v>
      </c>
      <c r="P7">
        <f t="shared" si="10"/>
        <v>8.1952606635071117</v>
      </c>
      <c r="Q7">
        <f t="shared" si="11"/>
        <v>819.52606635071118</v>
      </c>
      <c r="R7">
        <f t="shared" si="12"/>
        <v>45.36</v>
      </c>
    </row>
    <row r="8" spans="1:18" x14ac:dyDescent="0.25">
      <c r="A8" t="s">
        <v>12</v>
      </c>
      <c r="B8">
        <v>1.99</v>
      </c>
      <c r="C8">
        <v>1.89</v>
      </c>
      <c r="D8">
        <v>3.49</v>
      </c>
      <c r="E8">
        <v>2.99</v>
      </c>
      <c r="F8">
        <v>20</v>
      </c>
      <c r="G8" s="1">
        <f t="shared" si="5"/>
        <v>37.766672551229647</v>
      </c>
      <c r="H8" s="1">
        <f t="shared" si="6"/>
        <v>31.576027516682785</v>
      </c>
      <c r="I8">
        <f t="shared" si="1"/>
        <v>2.8341232227488153</v>
      </c>
      <c r="J8">
        <f t="shared" si="2"/>
        <v>0.94412322274881544</v>
      </c>
      <c r="K8">
        <f t="shared" si="3"/>
        <v>18.882464454976308</v>
      </c>
      <c r="L8">
        <f t="shared" si="7"/>
        <v>1888.2464454976307</v>
      </c>
      <c r="M8">
        <f t="shared" si="4"/>
        <v>59.800000000000004</v>
      </c>
      <c r="N8">
        <f t="shared" si="8"/>
        <v>3.3080568720379149</v>
      </c>
      <c r="O8">
        <f t="shared" si="9"/>
        <v>1.3180568720379149</v>
      </c>
      <c r="P8">
        <f t="shared" si="10"/>
        <v>26.361137440758299</v>
      </c>
      <c r="Q8">
        <f t="shared" si="11"/>
        <v>2636.1137440758298</v>
      </c>
      <c r="R8">
        <f t="shared" si="12"/>
        <v>69.800000000000011</v>
      </c>
    </row>
    <row r="9" spans="1:18" x14ac:dyDescent="0.25">
      <c r="A9" t="s">
        <v>49</v>
      </c>
      <c r="B9">
        <v>2.8</v>
      </c>
      <c r="C9">
        <v>2.65</v>
      </c>
      <c r="D9">
        <v>3.99</v>
      </c>
      <c r="E9">
        <v>3.99</v>
      </c>
      <c r="F9">
        <v>20</v>
      </c>
      <c r="G9" s="1">
        <f t="shared" si="5"/>
        <v>24.611291261328695</v>
      </c>
      <c r="H9" s="1">
        <f t="shared" si="6"/>
        <v>28.370689757569298</v>
      </c>
      <c r="I9">
        <f t="shared" si="1"/>
        <v>3.7819905213270149</v>
      </c>
      <c r="J9">
        <f t="shared" si="2"/>
        <v>1.1319905213270149</v>
      </c>
      <c r="K9">
        <f t="shared" si="3"/>
        <v>22.639810426540301</v>
      </c>
      <c r="L9">
        <f t="shared" si="7"/>
        <v>2263.9810426540303</v>
      </c>
      <c r="M9">
        <f t="shared" si="4"/>
        <v>79.800000000000011</v>
      </c>
      <c r="N9">
        <f t="shared" si="8"/>
        <v>3.7819905213270149</v>
      </c>
      <c r="O9">
        <f t="shared" si="9"/>
        <v>0.98199052132701503</v>
      </c>
      <c r="P9">
        <f t="shared" si="10"/>
        <v>19.639810426540301</v>
      </c>
      <c r="Q9">
        <f t="shared" si="11"/>
        <v>1963.98104265403</v>
      </c>
      <c r="R9">
        <f t="shared" si="12"/>
        <v>79.800000000000011</v>
      </c>
    </row>
    <row r="10" spans="1:18" x14ac:dyDescent="0.25">
      <c r="A10" t="s">
        <v>15</v>
      </c>
      <c r="B10">
        <v>1.28</v>
      </c>
      <c r="C10">
        <v>1.4</v>
      </c>
      <c r="D10">
        <v>1.99</v>
      </c>
      <c r="E10">
        <v>1.99</v>
      </c>
      <c r="F10">
        <v>54</v>
      </c>
      <c r="G10" s="1">
        <f t="shared" si="5"/>
        <v>30.465121817618908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26.257819905213282</v>
      </c>
      <c r="L10">
        <f t="shared" si="7"/>
        <v>2625.7819905213282</v>
      </c>
      <c r="M10">
        <f t="shared" si="4"/>
        <v>107.46</v>
      </c>
      <c r="N10">
        <f t="shared" si="8"/>
        <v>1.8862559241706163</v>
      </c>
      <c r="O10">
        <f t="shared" si="9"/>
        <v>0.60625592417061624</v>
      </c>
      <c r="P10">
        <f t="shared" si="10"/>
        <v>32.737819905213279</v>
      </c>
      <c r="Q10">
        <f t="shared" si="11"/>
        <v>3273.7819905213278</v>
      </c>
      <c r="R10">
        <f t="shared" si="12"/>
        <v>107.46</v>
      </c>
    </row>
    <row r="11" spans="1:18" x14ac:dyDescent="0.25">
      <c r="A11" t="s">
        <v>80</v>
      </c>
      <c r="B11">
        <v>2.75</v>
      </c>
      <c r="C11">
        <v>2.75</v>
      </c>
      <c r="D11">
        <v>3.99</v>
      </c>
      <c r="E11">
        <v>3.99</v>
      </c>
      <c r="F11">
        <v>6.7380000000000004</v>
      </c>
      <c r="G11" s="1">
        <f t="shared" si="5"/>
        <v>25.864424093408896</v>
      </c>
      <c r="H11" s="1">
        <f t="shared" si="6"/>
        <v>25.864424093408896</v>
      </c>
      <c r="I11">
        <f t="shared" si="1"/>
        <v>3.7819905213270149</v>
      </c>
      <c r="J11">
        <f t="shared" si="2"/>
        <v>1.0319905213270149</v>
      </c>
      <c r="K11">
        <f t="shared" si="3"/>
        <v>6.9535521327014269</v>
      </c>
      <c r="L11">
        <f t="shared" si="7"/>
        <v>695.35521327014271</v>
      </c>
      <c r="M11">
        <f t="shared" si="4"/>
        <v>26.884620000000002</v>
      </c>
      <c r="N11">
        <f t="shared" si="8"/>
        <v>3.7819905213270149</v>
      </c>
      <c r="O11">
        <f t="shared" si="9"/>
        <v>1.0319905213270149</v>
      </c>
      <c r="P11">
        <f t="shared" si="10"/>
        <v>6.9535521327014269</v>
      </c>
      <c r="Q11">
        <f t="shared" si="11"/>
        <v>695.35521327014271</v>
      </c>
      <c r="R11">
        <f t="shared" si="12"/>
        <v>26.884620000000002</v>
      </c>
    </row>
    <row r="12" spans="1:18" x14ac:dyDescent="0.25">
      <c r="A12" t="s">
        <v>17</v>
      </c>
      <c r="B12">
        <v>2.79</v>
      </c>
      <c r="C12">
        <v>2.6</v>
      </c>
      <c r="E12">
        <v>4.99</v>
      </c>
      <c r="F12">
        <v>10</v>
      </c>
      <c r="G12" s="1" t="e">
        <f t="shared" si="5"/>
        <v>#DIV/0!</v>
      </c>
      <c r="H12" s="1">
        <f t="shared" si="6"/>
        <v>42.682521440986235</v>
      </c>
      <c r="I12">
        <f t="shared" si="1"/>
        <v>4.7298578199052139</v>
      </c>
      <c r="J12">
        <f t="shared" si="2"/>
        <v>2.1298578199052138</v>
      </c>
      <c r="K12">
        <f t="shared" si="3"/>
        <v>21.298578199052137</v>
      </c>
      <c r="L12">
        <f t="shared" si="7"/>
        <v>2129.8578199052135</v>
      </c>
      <c r="M12">
        <f t="shared" si="4"/>
        <v>49.900000000000006</v>
      </c>
      <c r="N12">
        <f t="shared" si="8"/>
        <v>0</v>
      </c>
      <c r="O12">
        <f t="shared" si="9"/>
        <v>-2.79</v>
      </c>
      <c r="P12">
        <f t="shared" si="10"/>
        <v>-27.9</v>
      </c>
      <c r="Q12">
        <f t="shared" si="11"/>
        <v>-2790</v>
      </c>
      <c r="R12">
        <f t="shared" si="12"/>
        <v>0</v>
      </c>
    </row>
    <row r="13" spans="1:18" x14ac:dyDescent="0.25">
      <c r="A13" t="s">
        <v>45</v>
      </c>
      <c r="B13">
        <v>1.05</v>
      </c>
      <c r="C13">
        <v>0.95</v>
      </c>
      <c r="D13">
        <v>1.59</v>
      </c>
      <c r="E13">
        <v>1.49</v>
      </c>
      <c r="F13">
        <v>108</v>
      </c>
      <c r="G13" s="1">
        <f t="shared" si="5"/>
        <v>28.748994008763312</v>
      </c>
      <c r="H13" s="1">
        <f t="shared" si="6"/>
        <v>31.028340596074955</v>
      </c>
      <c r="I13">
        <f t="shared" si="1"/>
        <v>1.4123222748815167</v>
      </c>
      <c r="J13">
        <f t="shared" si="2"/>
        <v>0.46232227488151678</v>
      </c>
      <c r="K13">
        <f t="shared" si="3"/>
        <v>49.930805687203815</v>
      </c>
      <c r="L13">
        <f t="shared" si="7"/>
        <v>4993.0805687203811</v>
      </c>
      <c r="M13">
        <f t="shared" si="4"/>
        <v>160.91999999999999</v>
      </c>
      <c r="N13">
        <f t="shared" si="8"/>
        <v>1.5071090047393367</v>
      </c>
      <c r="O13">
        <f t="shared" si="9"/>
        <v>0.45710900473933669</v>
      </c>
      <c r="P13">
        <f t="shared" si="10"/>
        <v>49.367772511848365</v>
      </c>
      <c r="Q13">
        <f t="shared" si="11"/>
        <v>4936.7772511848361</v>
      </c>
      <c r="R13">
        <f t="shared" si="12"/>
        <v>171.72</v>
      </c>
    </row>
    <row r="14" spans="1:18" x14ac:dyDescent="0.25">
      <c r="A14" t="s">
        <v>81</v>
      </c>
      <c r="B14">
        <v>1.45</v>
      </c>
      <c r="C14">
        <v>1.4</v>
      </c>
      <c r="D14">
        <v>1.89</v>
      </c>
      <c r="E14">
        <v>1.99</v>
      </c>
      <c r="F14">
        <v>12</v>
      </c>
      <c r="G14" s="1">
        <f t="shared" si="5"/>
        <v>18.067153138243192</v>
      </c>
      <c r="H14" s="1">
        <f t="shared" si="6"/>
        <v>24.434971063850067</v>
      </c>
      <c r="I14">
        <f t="shared" si="1"/>
        <v>1.8862559241706163</v>
      </c>
      <c r="J14">
        <f t="shared" si="2"/>
        <v>0.48625592417061636</v>
      </c>
      <c r="K14">
        <f t="shared" si="3"/>
        <v>5.8350710900473963</v>
      </c>
      <c r="L14">
        <f t="shared" si="7"/>
        <v>583.50710900473962</v>
      </c>
      <c r="M14">
        <f t="shared" si="4"/>
        <v>23.88</v>
      </c>
      <c r="N14">
        <f t="shared" si="8"/>
        <v>1.7914691943127963</v>
      </c>
      <c r="O14">
        <f t="shared" si="9"/>
        <v>0.34146919431279632</v>
      </c>
      <c r="P14">
        <f t="shared" si="10"/>
        <v>4.0976303317535558</v>
      </c>
      <c r="Q14">
        <f t="shared" si="11"/>
        <v>409.76303317535559</v>
      </c>
      <c r="R14">
        <f t="shared" si="12"/>
        <v>22.68</v>
      </c>
    </row>
    <row r="15" spans="1:18" x14ac:dyDescent="0.25">
      <c r="A15" t="s">
        <v>20</v>
      </c>
      <c r="B15">
        <v>0.96</v>
      </c>
      <c r="C15">
        <v>0.55000000000000004</v>
      </c>
      <c r="D15">
        <v>1.39</v>
      </c>
      <c r="E15">
        <v>0.99</v>
      </c>
      <c r="F15">
        <v>88</v>
      </c>
      <c r="G15" s="1">
        <f t="shared" si="5"/>
        <v>25.721981656381065</v>
      </c>
      <c r="H15" s="1">
        <f t="shared" si="6"/>
        <v>39.231174302264343</v>
      </c>
      <c r="I15">
        <f t="shared" si="1"/>
        <v>0.93838862559241709</v>
      </c>
      <c r="J15">
        <f t="shared" si="2"/>
        <v>0.38838862559241705</v>
      </c>
      <c r="K15">
        <f t="shared" si="3"/>
        <v>34.178199052132697</v>
      </c>
      <c r="L15">
        <f t="shared" si="7"/>
        <v>3417.8199052132695</v>
      </c>
      <c r="M15">
        <f t="shared" si="4"/>
        <v>87.12</v>
      </c>
      <c r="N15">
        <f t="shared" si="8"/>
        <v>1.3175355450236967</v>
      </c>
      <c r="O15">
        <f t="shared" si="9"/>
        <v>0.35753554502369678</v>
      </c>
      <c r="P15">
        <f t="shared" si="10"/>
        <v>31.463127962085316</v>
      </c>
      <c r="Q15">
        <f t="shared" si="11"/>
        <v>3146.3127962085318</v>
      </c>
      <c r="R15">
        <f t="shared" si="12"/>
        <v>122.32</v>
      </c>
    </row>
    <row r="16" spans="1:18" x14ac:dyDescent="0.25">
      <c r="A16" t="s">
        <v>69</v>
      </c>
      <c r="B16">
        <v>0.8</v>
      </c>
      <c r="C16">
        <v>0.6</v>
      </c>
      <c r="D16">
        <v>1.19</v>
      </c>
      <c r="E16">
        <v>0.99</v>
      </c>
      <c r="F16">
        <v>118</v>
      </c>
      <c r="G16" s="1">
        <f t="shared" si="5"/>
        <v>27.559839101517387</v>
      </c>
      <c r="H16" s="1">
        <f t="shared" si="6"/>
        <v>34.180669251759312</v>
      </c>
      <c r="I16">
        <f t="shared" si="1"/>
        <v>0.93838862559241709</v>
      </c>
      <c r="J16">
        <f t="shared" si="2"/>
        <v>0.33838862559241711</v>
      </c>
      <c r="K16">
        <f t="shared" si="3"/>
        <v>39.929857819905223</v>
      </c>
      <c r="L16">
        <f t="shared" si="7"/>
        <v>3992.9857819905224</v>
      </c>
      <c r="M16">
        <f t="shared" si="4"/>
        <v>116.82</v>
      </c>
      <c r="N16">
        <f t="shared" si="8"/>
        <v>1.127962085308057</v>
      </c>
      <c r="O16">
        <f t="shared" si="9"/>
        <v>0.32796208530805693</v>
      </c>
      <c r="P16">
        <f t="shared" si="10"/>
        <v>38.699526066350714</v>
      </c>
      <c r="Q16">
        <f t="shared" si="11"/>
        <v>3869.9526066350713</v>
      </c>
      <c r="R16">
        <f t="shared" si="12"/>
        <v>140.41999999999999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879" priority="188" operator="lessThan">
      <formula>$C$4</formula>
    </cfRule>
  </conditionalFormatting>
  <conditionalFormatting sqref="C4">
    <cfRule type="cellIs" dxfId="1878" priority="187" operator="lessThan">
      <formula>$B$4</formula>
    </cfRule>
  </conditionalFormatting>
  <conditionalFormatting sqref="B5">
    <cfRule type="cellIs" dxfId="1877" priority="186" operator="lessThan">
      <formula>$C$5</formula>
    </cfRule>
  </conditionalFormatting>
  <conditionalFormatting sqref="C5">
    <cfRule type="cellIs" dxfId="1876" priority="185" operator="lessThan">
      <formula>$B$5</formula>
    </cfRule>
  </conditionalFormatting>
  <conditionalFormatting sqref="B6">
    <cfRule type="cellIs" dxfId="1875" priority="184" operator="lessThan">
      <formula>$C$6</formula>
    </cfRule>
  </conditionalFormatting>
  <conditionalFormatting sqref="C6">
    <cfRule type="cellIs" dxfId="1874" priority="183" operator="lessThan">
      <formula>$B$6</formula>
    </cfRule>
  </conditionalFormatting>
  <conditionalFormatting sqref="B7">
    <cfRule type="cellIs" dxfId="1873" priority="182" operator="lessThan">
      <formula>$C$7</formula>
    </cfRule>
  </conditionalFormatting>
  <conditionalFormatting sqref="C7">
    <cfRule type="cellIs" dxfId="1872" priority="181" operator="lessThan">
      <formula>$B$7</formula>
    </cfRule>
  </conditionalFormatting>
  <conditionalFormatting sqref="B8">
    <cfRule type="cellIs" dxfId="1871" priority="180" operator="lessThan">
      <formula>$C$8</formula>
    </cfRule>
  </conditionalFormatting>
  <conditionalFormatting sqref="C8">
    <cfRule type="cellIs" dxfId="1870" priority="179" operator="lessThan">
      <formula>$B$8</formula>
    </cfRule>
  </conditionalFormatting>
  <conditionalFormatting sqref="B9">
    <cfRule type="cellIs" dxfId="1869" priority="178" operator="lessThan">
      <formula>$C$9</formula>
    </cfRule>
  </conditionalFormatting>
  <conditionalFormatting sqref="C9">
    <cfRule type="cellIs" dxfId="1868" priority="177" operator="lessThan">
      <formula>$B$9</formula>
    </cfRule>
  </conditionalFormatting>
  <conditionalFormatting sqref="B10">
    <cfRule type="cellIs" dxfId="1867" priority="176" operator="lessThan">
      <formula>$C$10</formula>
    </cfRule>
  </conditionalFormatting>
  <conditionalFormatting sqref="C10">
    <cfRule type="cellIs" dxfId="1866" priority="175" operator="lessThan">
      <formula>$B$10</formula>
    </cfRule>
  </conditionalFormatting>
  <conditionalFormatting sqref="B11">
    <cfRule type="cellIs" dxfId="1865" priority="174" operator="lessThan">
      <formula>$C$11</formula>
    </cfRule>
  </conditionalFormatting>
  <conditionalFormatting sqref="C11">
    <cfRule type="cellIs" dxfId="1864" priority="173" operator="lessThan">
      <formula>$B$11</formula>
    </cfRule>
  </conditionalFormatting>
  <conditionalFormatting sqref="B12">
    <cfRule type="cellIs" dxfId="1863" priority="172" operator="lessThan">
      <formula>$C$12</formula>
    </cfRule>
  </conditionalFormatting>
  <conditionalFormatting sqref="C12">
    <cfRule type="cellIs" dxfId="1862" priority="171" operator="lessThan">
      <formula>$B$12</formula>
    </cfRule>
  </conditionalFormatting>
  <conditionalFormatting sqref="B13">
    <cfRule type="cellIs" dxfId="1861" priority="170" operator="lessThan">
      <formula>$C$13</formula>
    </cfRule>
  </conditionalFormatting>
  <conditionalFormatting sqref="C13">
    <cfRule type="cellIs" dxfId="1860" priority="169" operator="lessThan">
      <formula>$B$13</formula>
    </cfRule>
  </conditionalFormatting>
  <conditionalFormatting sqref="B14">
    <cfRule type="cellIs" dxfId="1859" priority="168" operator="lessThan">
      <formula>$C$14</formula>
    </cfRule>
  </conditionalFormatting>
  <conditionalFormatting sqref="C14">
    <cfRule type="cellIs" dxfId="1858" priority="167" operator="lessThan">
      <formula>$B$14</formula>
    </cfRule>
  </conditionalFormatting>
  <conditionalFormatting sqref="B15">
    <cfRule type="cellIs" dxfId="1857" priority="166" operator="lessThan">
      <formula>$C$15</formula>
    </cfRule>
  </conditionalFormatting>
  <conditionalFormatting sqref="C15">
    <cfRule type="cellIs" dxfId="1856" priority="165" operator="lessThan">
      <formula>$B$15</formula>
    </cfRule>
  </conditionalFormatting>
  <conditionalFormatting sqref="B16">
    <cfRule type="cellIs" dxfId="1855" priority="164" operator="lessThan">
      <formula>$C$16</formula>
    </cfRule>
  </conditionalFormatting>
  <conditionalFormatting sqref="C16">
    <cfRule type="cellIs" dxfId="1854" priority="163" operator="lessThan">
      <formula>$B$16</formula>
    </cfRule>
  </conditionalFormatting>
  <conditionalFormatting sqref="B17">
    <cfRule type="cellIs" dxfId="1853" priority="162" operator="lessThan">
      <formula>$C$17</formula>
    </cfRule>
  </conditionalFormatting>
  <conditionalFormatting sqref="C17">
    <cfRule type="cellIs" dxfId="1852" priority="161" operator="lessThan">
      <formula>$B$17</formula>
    </cfRule>
  </conditionalFormatting>
  <conditionalFormatting sqref="B18">
    <cfRule type="cellIs" dxfId="1851" priority="160" operator="lessThan">
      <formula>$C$18</formula>
    </cfRule>
  </conditionalFormatting>
  <conditionalFormatting sqref="C18">
    <cfRule type="cellIs" dxfId="1850" priority="159" operator="lessThan">
      <formula>$B$18</formula>
    </cfRule>
  </conditionalFormatting>
  <conditionalFormatting sqref="C19">
    <cfRule type="cellIs" dxfId="1849" priority="158" operator="lessThan">
      <formula>$B$19</formula>
    </cfRule>
  </conditionalFormatting>
  <conditionalFormatting sqref="B19">
    <cfRule type="cellIs" dxfId="1848" priority="157" operator="lessThan">
      <formula>$C$19</formula>
    </cfRule>
  </conditionalFormatting>
  <conditionalFormatting sqref="B20">
    <cfRule type="cellIs" dxfId="1847" priority="156" operator="lessThan">
      <formula>$C$20</formula>
    </cfRule>
  </conditionalFormatting>
  <conditionalFormatting sqref="C20">
    <cfRule type="cellIs" dxfId="1846" priority="155" operator="lessThan">
      <formula>$B$20</formula>
    </cfRule>
  </conditionalFormatting>
  <conditionalFormatting sqref="B21">
    <cfRule type="cellIs" dxfId="1845" priority="154" operator="lessThan">
      <formula>$C$21</formula>
    </cfRule>
  </conditionalFormatting>
  <conditionalFormatting sqref="C21">
    <cfRule type="cellIs" dxfId="1844" priority="153" operator="lessThan">
      <formula>$B$21</formula>
    </cfRule>
  </conditionalFormatting>
  <conditionalFormatting sqref="B22">
    <cfRule type="cellIs" dxfId="1843" priority="152" operator="lessThan">
      <formula>$C$22</formula>
    </cfRule>
  </conditionalFormatting>
  <conditionalFormatting sqref="C22">
    <cfRule type="cellIs" dxfId="1842" priority="151" operator="lessThan">
      <formula>$B$22</formula>
    </cfRule>
  </conditionalFormatting>
  <conditionalFormatting sqref="B23">
    <cfRule type="cellIs" dxfId="1841" priority="150" operator="lessThan">
      <formula>$C$23</formula>
    </cfRule>
  </conditionalFormatting>
  <conditionalFormatting sqref="C23">
    <cfRule type="cellIs" dxfId="1840" priority="149" operator="lessThan">
      <formula>$B$23</formula>
    </cfRule>
  </conditionalFormatting>
  <conditionalFormatting sqref="B24">
    <cfRule type="cellIs" dxfId="1839" priority="148" operator="lessThan">
      <formula>$C$24</formula>
    </cfRule>
  </conditionalFormatting>
  <conditionalFormatting sqref="C24">
    <cfRule type="cellIs" dxfId="1838" priority="147" operator="lessThan">
      <formula>$B$24</formula>
    </cfRule>
  </conditionalFormatting>
  <conditionalFormatting sqref="B25">
    <cfRule type="cellIs" dxfId="1837" priority="146" operator="lessThan">
      <formula>$C$25</formula>
    </cfRule>
  </conditionalFormatting>
  <conditionalFormatting sqref="C25">
    <cfRule type="cellIs" dxfId="1836" priority="145" operator="lessThan">
      <formula>$B$25</formula>
    </cfRule>
  </conditionalFormatting>
  <conditionalFormatting sqref="B26">
    <cfRule type="cellIs" dxfId="1835" priority="144" operator="lessThan">
      <formula>$C$26</formula>
    </cfRule>
  </conditionalFormatting>
  <conditionalFormatting sqref="C26">
    <cfRule type="cellIs" dxfId="1834" priority="143" operator="lessThan">
      <formula>$B$26</formula>
    </cfRule>
  </conditionalFormatting>
  <conditionalFormatting sqref="B27">
    <cfRule type="cellIs" dxfId="1833" priority="142" operator="lessThan">
      <formula>$C$27</formula>
    </cfRule>
  </conditionalFormatting>
  <conditionalFormatting sqref="C27">
    <cfRule type="cellIs" dxfId="1832" priority="141" operator="lessThan">
      <formula>$B$27</formula>
    </cfRule>
  </conditionalFormatting>
  <conditionalFormatting sqref="B28">
    <cfRule type="cellIs" dxfId="1831" priority="140" operator="lessThan">
      <formula>$C$28</formula>
    </cfRule>
  </conditionalFormatting>
  <conditionalFormatting sqref="C28">
    <cfRule type="cellIs" dxfId="1830" priority="139" operator="lessThan">
      <formula>$B$28</formula>
    </cfRule>
  </conditionalFormatting>
  <conditionalFormatting sqref="B29">
    <cfRule type="cellIs" dxfId="1829" priority="138" operator="lessThan">
      <formula>$C$29</formula>
    </cfRule>
  </conditionalFormatting>
  <conditionalFormatting sqref="C29">
    <cfRule type="cellIs" dxfId="1828" priority="137" operator="lessThan">
      <formula>$B$29</formula>
    </cfRule>
  </conditionalFormatting>
  <conditionalFormatting sqref="B30">
    <cfRule type="cellIs" dxfId="1827" priority="136" operator="lessThan">
      <formula>$C$30</formula>
    </cfRule>
  </conditionalFormatting>
  <conditionalFormatting sqref="C30">
    <cfRule type="cellIs" dxfId="1826" priority="135" operator="lessThan">
      <formula>$B$30</formula>
    </cfRule>
  </conditionalFormatting>
  <conditionalFormatting sqref="B31">
    <cfRule type="cellIs" dxfId="1825" priority="134" operator="lessThan">
      <formula>$C$31</formula>
    </cfRule>
  </conditionalFormatting>
  <conditionalFormatting sqref="C31">
    <cfRule type="cellIs" dxfId="1824" priority="133" operator="lessThan">
      <formula>$B$31</formula>
    </cfRule>
  </conditionalFormatting>
  <conditionalFormatting sqref="B32">
    <cfRule type="cellIs" dxfId="1823" priority="132" operator="lessThan">
      <formula>$C$32</formula>
    </cfRule>
  </conditionalFormatting>
  <conditionalFormatting sqref="C32">
    <cfRule type="cellIs" dxfId="1822" priority="131" operator="lessThan">
      <formula>$B$32</formula>
    </cfRule>
  </conditionalFormatting>
  <conditionalFormatting sqref="B33">
    <cfRule type="cellIs" dxfId="1821" priority="130" operator="lessThan">
      <formula>$C$33</formula>
    </cfRule>
  </conditionalFormatting>
  <conditionalFormatting sqref="C33">
    <cfRule type="cellIs" dxfId="1820" priority="129" operator="lessThan">
      <formula>$B$33</formula>
    </cfRule>
  </conditionalFormatting>
  <conditionalFormatting sqref="B34">
    <cfRule type="cellIs" dxfId="1819" priority="128" operator="lessThan">
      <formula>$C$34</formula>
    </cfRule>
  </conditionalFormatting>
  <conditionalFormatting sqref="C34">
    <cfRule type="cellIs" dxfId="1818" priority="127" operator="lessThan">
      <formula>$B$34</formula>
    </cfRule>
  </conditionalFormatting>
  <conditionalFormatting sqref="B35">
    <cfRule type="cellIs" dxfId="1817" priority="126" operator="lessThan">
      <formula>$C$35</formula>
    </cfRule>
  </conditionalFormatting>
  <conditionalFormatting sqref="C35">
    <cfRule type="cellIs" dxfId="1816" priority="125" operator="lessThan">
      <formula>$B$35</formula>
    </cfRule>
  </conditionalFormatting>
  <conditionalFormatting sqref="B36">
    <cfRule type="cellIs" dxfId="1815" priority="124" operator="lessThan">
      <formula>$C$36</formula>
    </cfRule>
  </conditionalFormatting>
  <conditionalFormatting sqref="C36">
    <cfRule type="cellIs" dxfId="1814" priority="123" operator="lessThan">
      <formula>$B$36</formula>
    </cfRule>
  </conditionalFormatting>
  <conditionalFormatting sqref="B37">
    <cfRule type="cellIs" dxfId="1813" priority="122" operator="lessThan">
      <formula>$C$37</formula>
    </cfRule>
  </conditionalFormatting>
  <conditionalFormatting sqref="C37">
    <cfRule type="cellIs" dxfId="1812" priority="121" operator="lessThan">
      <formula>$B$37</formula>
    </cfRule>
  </conditionalFormatting>
  <conditionalFormatting sqref="B38">
    <cfRule type="cellIs" dxfId="1811" priority="120" operator="lessThan">
      <formula>$C$38</formula>
    </cfRule>
  </conditionalFormatting>
  <conditionalFormatting sqref="C38">
    <cfRule type="cellIs" dxfId="1810" priority="119" operator="lessThan">
      <formula>$B$38</formula>
    </cfRule>
  </conditionalFormatting>
  <conditionalFormatting sqref="B39">
    <cfRule type="cellIs" dxfId="1809" priority="118" operator="lessThan">
      <formula>$C$39</formula>
    </cfRule>
  </conditionalFormatting>
  <conditionalFormatting sqref="C39">
    <cfRule type="cellIs" dxfId="1808" priority="117" operator="lessThan">
      <formula>$B$39</formula>
    </cfRule>
  </conditionalFormatting>
  <conditionalFormatting sqref="B40">
    <cfRule type="cellIs" dxfId="1807" priority="116" operator="lessThan">
      <formula>$C$40</formula>
    </cfRule>
  </conditionalFormatting>
  <conditionalFormatting sqref="C40">
    <cfRule type="cellIs" dxfId="1806" priority="115" operator="lessThan">
      <formula>$B$40</formula>
    </cfRule>
  </conditionalFormatting>
  <conditionalFormatting sqref="B41">
    <cfRule type="cellIs" dxfId="1805" priority="114" operator="lessThan">
      <formula>$C$41</formula>
    </cfRule>
  </conditionalFormatting>
  <conditionalFormatting sqref="C41">
    <cfRule type="cellIs" dxfId="1804" priority="113" operator="lessThan">
      <formula>$B$41</formula>
    </cfRule>
  </conditionalFormatting>
  <conditionalFormatting sqref="B42">
    <cfRule type="cellIs" dxfId="1803" priority="112" operator="lessThan">
      <formula>$C$42</formula>
    </cfRule>
  </conditionalFormatting>
  <conditionalFormatting sqref="C42">
    <cfRule type="cellIs" dxfId="1802" priority="111" operator="lessThan">
      <formula>$B$42</formula>
    </cfRule>
  </conditionalFormatting>
  <conditionalFormatting sqref="B43">
    <cfRule type="cellIs" dxfId="1801" priority="110" operator="lessThan">
      <formula>$C$43</formula>
    </cfRule>
  </conditionalFormatting>
  <conditionalFormatting sqref="C43">
    <cfRule type="cellIs" dxfId="1800" priority="109" operator="lessThan">
      <formula>$B$43</formula>
    </cfRule>
  </conditionalFormatting>
  <conditionalFormatting sqref="B44">
    <cfRule type="cellIs" dxfId="1799" priority="108" operator="lessThan">
      <formula>$C$44</formula>
    </cfRule>
  </conditionalFormatting>
  <conditionalFormatting sqref="C44">
    <cfRule type="cellIs" dxfId="1798" priority="107" operator="lessThan">
      <formula>$B$44</formula>
    </cfRule>
  </conditionalFormatting>
  <conditionalFormatting sqref="B45">
    <cfRule type="cellIs" dxfId="1797" priority="106" operator="lessThan">
      <formula>$C$45</formula>
    </cfRule>
  </conditionalFormatting>
  <conditionalFormatting sqref="C45">
    <cfRule type="cellIs" dxfId="1796" priority="105" operator="lessThan">
      <formula>$B$45</formula>
    </cfRule>
  </conditionalFormatting>
  <conditionalFormatting sqref="B46">
    <cfRule type="cellIs" dxfId="1795" priority="104" operator="lessThan">
      <formula>$C$46</formula>
    </cfRule>
  </conditionalFormatting>
  <conditionalFormatting sqref="C46">
    <cfRule type="cellIs" dxfId="1794" priority="103" operator="lessThan">
      <formula>$B$46</formula>
    </cfRule>
  </conditionalFormatting>
  <conditionalFormatting sqref="B47">
    <cfRule type="cellIs" dxfId="1793" priority="102" operator="lessThan">
      <formula>$C$47</formula>
    </cfRule>
  </conditionalFormatting>
  <conditionalFormatting sqref="C47">
    <cfRule type="cellIs" dxfId="1792" priority="101" operator="lessThan">
      <formula>$B$47</formula>
    </cfRule>
  </conditionalFormatting>
  <conditionalFormatting sqref="B48">
    <cfRule type="cellIs" dxfId="1791" priority="100" operator="lessThan">
      <formula>$C$48</formula>
    </cfRule>
  </conditionalFormatting>
  <conditionalFormatting sqref="C48">
    <cfRule type="cellIs" dxfId="1790" priority="99" operator="lessThan">
      <formula>$B$48</formula>
    </cfRule>
  </conditionalFormatting>
  <conditionalFormatting sqref="B49">
    <cfRule type="cellIs" dxfId="1789" priority="98" operator="lessThan">
      <formula>$C$49</formula>
    </cfRule>
  </conditionalFormatting>
  <conditionalFormatting sqref="C49">
    <cfRule type="cellIs" dxfId="1788" priority="97" operator="lessThan">
      <formula>$B$49</formula>
    </cfRule>
  </conditionalFormatting>
  <conditionalFormatting sqref="B50">
    <cfRule type="cellIs" dxfId="1787" priority="96" operator="lessThan">
      <formula>$C$50</formula>
    </cfRule>
  </conditionalFormatting>
  <conditionalFormatting sqref="C50">
    <cfRule type="cellIs" dxfId="1786" priority="95" operator="lessThan">
      <formula>$B$50</formula>
    </cfRule>
  </conditionalFormatting>
  <conditionalFormatting sqref="D4">
    <cfRule type="cellIs" dxfId="1785" priority="94" operator="lessThan">
      <formula>$E$4</formula>
    </cfRule>
  </conditionalFormatting>
  <conditionalFormatting sqref="E4">
    <cfRule type="cellIs" dxfId="1784" priority="93" operator="lessThan">
      <formula>$D$4</formula>
    </cfRule>
  </conditionalFormatting>
  <conditionalFormatting sqref="D5">
    <cfRule type="cellIs" dxfId="1783" priority="92" operator="lessThan">
      <formula>$E$5</formula>
    </cfRule>
  </conditionalFormatting>
  <conditionalFormatting sqref="E5">
    <cfRule type="cellIs" dxfId="1782" priority="91" operator="lessThan">
      <formula>$D$5</formula>
    </cfRule>
  </conditionalFormatting>
  <conditionalFormatting sqref="D6">
    <cfRule type="cellIs" dxfId="1781" priority="90" operator="lessThan">
      <formula>$E$6</formula>
    </cfRule>
  </conditionalFormatting>
  <conditionalFormatting sqref="E6">
    <cfRule type="cellIs" dxfId="1780" priority="89" operator="lessThan">
      <formula>$D$6</formula>
    </cfRule>
  </conditionalFormatting>
  <conditionalFormatting sqref="D7">
    <cfRule type="cellIs" dxfId="1779" priority="88" operator="lessThan">
      <formula>$E$7</formula>
    </cfRule>
  </conditionalFormatting>
  <conditionalFormatting sqref="E7">
    <cfRule type="cellIs" dxfId="1778" priority="87" operator="lessThan">
      <formula>$D$7</formula>
    </cfRule>
  </conditionalFormatting>
  <conditionalFormatting sqref="D8">
    <cfRule type="cellIs" dxfId="1777" priority="86" operator="lessThan">
      <formula>$E$8</formula>
    </cfRule>
  </conditionalFormatting>
  <conditionalFormatting sqref="E8">
    <cfRule type="cellIs" dxfId="1776" priority="85" operator="lessThan">
      <formula>$D$8</formula>
    </cfRule>
  </conditionalFormatting>
  <conditionalFormatting sqref="D9">
    <cfRule type="cellIs" dxfId="1775" priority="84" operator="lessThan">
      <formula>$E$9</formula>
    </cfRule>
  </conditionalFormatting>
  <conditionalFormatting sqref="E9">
    <cfRule type="cellIs" dxfId="1774" priority="83" operator="lessThan">
      <formula>$D$9</formula>
    </cfRule>
  </conditionalFormatting>
  <conditionalFormatting sqref="D10">
    <cfRule type="cellIs" dxfId="1773" priority="82" operator="lessThan">
      <formula>$E$10</formula>
    </cfRule>
  </conditionalFormatting>
  <conditionalFormatting sqref="E10">
    <cfRule type="cellIs" dxfId="1772" priority="81" operator="lessThan">
      <formula>$D$10</formula>
    </cfRule>
  </conditionalFormatting>
  <conditionalFormatting sqref="D11">
    <cfRule type="cellIs" dxfId="1771" priority="80" operator="lessThan">
      <formula>$E$11</formula>
    </cfRule>
  </conditionalFormatting>
  <conditionalFormatting sqref="E11">
    <cfRule type="cellIs" dxfId="1770" priority="79" operator="lessThan">
      <formula>$D$11</formula>
    </cfRule>
  </conditionalFormatting>
  <conditionalFormatting sqref="D12">
    <cfRule type="cellIs" dxfId="1769" priority="78" operator="lessThan">
      <formula>$E$12</formula>
    </cfRule>
  </conditionalFormatting>
  <conditionalFormatting sqref="E12">
    <cfRule type="cellIs" dxfId="1768" priority="77" operator="lessThan">
      <formula>$D$12</formula>
    </cfRule>
  </conditionalFormatting>
  <conditionalFormatting sqref="D13">
    <cfRule type="cellIs" dxfId="1767" priority="76" operator="lessThan">
      <formula>$E$13</formula>
    </cfRule>
  </conditionalFormatting>
  <conditionalFormatting sqref="E13">
    <cfRule type="cellIs" dxfId="1766" priority="75" operator="lessThan">
      <formula>$D$13</formula>
    </cfRule>
  </conditionalFormatting>
  <conditionalFormatting sqref="D14">
    <cfRule type="cellIs" dxfId="1765" priority="74" operator="lessThan">
      <formula>$E$14</formula>
    </cfRule>
  </conditionalFormatting>
  <conditionalFormatting sqref="E14">
    <cfRule type="cellIs" dxfId="1764" priority="73" operator="lessThan">
      <formula>$D$14</formula>
    </cfRule>
  </conditionalFormatting>
  <conditionalFormatting sqref="D15">
    <cfRule type="cellIs" dxfId="1763" priority="72" operator="lessThan">
      <formula>$E$15</formula>
    </cfRule>
  </conditionalFormatting>
  <conditionalFormatting sqref="E15">
    <cfRule type="cellIs" dxfId="1762" priority="71" operator="lessThan">
      <formula>$D$15</formula>
    </cfRule>
  </conditionalFormatting>
  <conditionalFormatting sqref="D16">
    <cfRule type="cellIs" dxfId="1761" priority="70" operator="lessThan">
      <formula>$E$16</formula>
    </cfRule>
  </conditionalFormatting>
  <conditionalFormatting sqref="E16">
    <cfRule type="cellIs" dxfId="1760" priority="69" operator="lessThan">
      <formula>$D$16</formula>
    </cfRule>
  </conditionalFormatting>
  <conditionalFormatting sqref="D17">
    <cfRule type="cellIs" dxfId="1759" priority="68" operator="lessThan">
      <formula>$E$17</formula>
    </cfRule>
  </conditionalFormatting>
  <conditionalFormatting sqref="E17">
    <cfRule type="cellIs" dxfId="1758" priority="67" operator="lessThan">
      <formula>$D$17</formula>
    </cfRule>
  </conditionalFormatting>
  <conditionalFormatting sqref="D18">
    <cfRule type="cellIs" dxfId="1757" priority="66" operator="lessThan">
      <formula>$E$18</formula>
    </cfRule>
  </conditionalFormatting>
  <conditionalFormatting sqref="E18">
    <cfRule type="cellIs" dxfId="1756" priority="65" operator="lessThan">
      <formula>$D$18</formula>
    </cfRule>
  </conditionalFormatting>
  <conditionalFormatting sqref="D19">
    <cfRule type="cellIs" dxfId="1755" priority="64" operator="lessThan">
      <formula>$E$19</formula>
    </cfRule>
  </conditionalFormatting>
  <conditionalFormatting sqref="E19">
    <cfRule type="cellIs" dxfId="1754" priority="63" operator="lessThan">
      <formula>$D$19</formula>
    </cfRule>
  </conditionalFormatting>
  <conditionalFormatting sqref="D20">
    <cfRule type="cellIs" dxfId="1753" priority="62" operator="lessThan">
      <formula>$E$20</formula>
    </cfRule>
  </conditionalFormatting>
  <conditionalFormatting sqref="E20">
    <cfRule type="cellIs" dxfId="1752" priority="61" operator="lessThan">
      <formula>$D$20</formula>
    </cfRule>
  </conditionalFormatting>
  <conditionalFormatting sqref="D21">
    <cfRule type="cellIs" dxfId="1751" priority="60" operator="lessThan">
      <formula>$E$21</formula>
    </cfRule>
  </conditionalFormatting>
  <conditionalFormatting sqref="E21">
    <cfRule type="cellIs" dxfId="1750" priority="59" operator="lessThan">
      <formula>$D$21</formula>
    </cfRule>
  </conditionalFormatting>
  <conditionalFormatting sqref="D22">
    <cfRule type="cellIs" dxfId="1749" priority="58" operator="lessThan">
      <formula>$E$22</formula>
    </cfRule>
  </conditionalFormatting>
  <conditionalFormatting sqref="E22">
    <cfRule type="cellIs" dxfId="1748" priority="57" operator="lessThan">
      <formula>$D$22</formula>
    </cfRule>
  </conditionalFormatting>
  <conditionalFormatting sqref="D23">
    <cfRule type="cellIs" dxfId="1747" priority="56" operator="lessThan">
      <formula>$E$23</formula>
    </cfRule>
  </conditionalFormatting>
  <conditionalFormatting sqref="E23">
    <cfRule type="cellIs" dxfId="1746" priority="55" operator="lessThan">
      <formula>$D$23</formula>
    </cfRule>
  </conditionalFormatting>
  <conditionalFormatting sqref="D24">
    <cfRule type="cellIs" dxfId="1745" priority="54" operator="lessThan">
      <formula>$E$24</formula>
    </cfRule>
  </conditionalFormatting>
  <conditionalFormatting sqref="E24">
    <cfRule type="cellIs" dxfId="1744" priority="53" operator="lessThan">
      <formula>$D$24</formula>
    </cfRule>
  </conditionalFormatting>
  <conditionalFormatting sqref="D25">
    <cfRule type="cellIs" dxfId="1743" priority="52" operator="lessThan">
      <formula>$E$25</formula>
    </cfRule>
  </conditionalFormatting>
  <conditionalFormatting sqref="E25">
    <cfRule type="cellIs" dxfId="1742" priority="51" operator="lessThan">
      <formula>$D$25</formula>
    </cfRule>
  </conditionalFormatting>
  <conditionalFormatting sqref="D26">
    <cfRule type="cellIs" dxfId="1741" priority="50" operator="lessThan">
      <formula>$E$26</formula>
    </cfRule>
  </conditionalFormatting>
  <conditionalFormatting sqref="E26">
    <cfRule type="cellIs" dxfId="1740" priority="49" operator="lessThan">
      <formula>$D$26</formula>
    </cfRule>
  </conditionalFormatting>
  <conditionalFormatting sqref="D27">
    <cfRule type="cellIs" dxfId="1739" priority="48" operator="lessThan">
      <formula>$E$27</formula>
    </cfRule>
  </conditionalFormatting>
  <conditionalFormatting sqref="E27">
    <cfRule type="cellIs" dxfId="1738" priority="47" operator="lessThan">
      <formula>$D$27</formula>
    </cfRule>
  </conditionalFormatting>
  <conditionalFormatting sqref="D28">
    <cfRule type="cellIs" dxfId="1737" priority="46" operator="lessThan">
      <formula>$E$28</formula>
    </cfRule>
  </conditionalFormatting>
  <conditionalFormatting sqref="E28">
    <cfRule type="cellIs" dxfId="1736" priority="45" operator="lessThan">
      <formula>$D$28</formula>
    </cfRule>
  </conditionalFormatting>
  <conditionalFormatting sqref="D29">
    <cfRule type="cellIs" dxfId="1735" priority="44" operator="lessThan">
      <formula>$E$29</formula>
    </cfRule>
  </conditionalFormatting>
  <conditionalFormatting sqref="E29">
    <cfRule type="cellIs" dxfId="1734" priority="43" operator="lessThan">
      <formula>$D$29</formula>
    </cfRule>
  </conditionalFormatting>
  <conditionalFormatting sqref="D30">
    <cfRule type="cellIs" dxfId="1733" priority="42" operator="lessThan">
      <formula>$E$30</formula>
    </cfRule>
  </conditionalFormatting>
  <conditionalFormatting sqref="E30">
    <cfRule type="cellIs" dxfId="1732" priority="41" operator="lessThan">
      <formula>$D$30</formula>
    </cfRule>
  </conditionalFormatting>
  <conditionalFormatting sqref="D31">
    <cfRule type="cellIs" dxfId="1731" priority="40" operator="lessThan">
      <formula>$E$31</formula>
    </cfRule>
  </conditionalFormatting>
  <conditionalFormatting sqref="E31">
    <cfRule type="cellIs" dxfId="1730" priority="39" operator="lessThan">
      <formula>$D$31</formula>
    </cfRule>
  </conditionalFormatting>
  <conditionalFormatting sqref="D32">
    <cfRule type="cellIs" dxfId="1729" priority="38" operator="lessThan">
      <formula>$E$32</formula>
    </cfRule>
  </conditionalFormatting>
  <conditionalFormatting sqref="E32">
    <cfRule type="cellIs" dxfId="1728" priority="37" operator="lessThan">
      <formula>$D$32</formula>
    </cfRule>
  </conditionalFormatting>
  <conditionalFormatting sqref="D33">
    <cfRule type="cellIs" dxfId="1727" priority="36" operator="lessThan">
      <formula>$E$33</formula>
    </cfRule>
  </conditionalFormatting>
  <conditionalFormatting sqref="E33">
    <cfRule type="cellIs" dxfId="1726" priority="35" operator="lessThan">
      <formula>$D$33</formula>
    </cfRule>
  </conditionalFormatting>
  <conditionalFormatting sqref="D34">
    <cfRule type="cellIs" dxfId="1725" priority="34" operator="lessThan">
      <formula>$E$34</formula>
    </cfRule>
  </conditionalFormatting>
  <conditionalFormatting sqref="E34">
    <cfRule type="cellIs" dxfId="1724" priority="33" operator="lessThan">
      <formula>$D$34</formula>
    </cfRule>
  </conditionalFormatting>
  <conditionalFormatting sqref="D35">
    <cfRule type="cellIs" dxfId="1723" priority="32" operator="lessThan">
      <formula>$E$35</formula>
    </cfRule>
  </conditionalFormatting>
  <conditionalFormatting sqref="E35">
    <cfRule type="cellIs" dxfId="1722" priority="31" operator="lessThan">
      <formula>$D$35</formula>
    </cfRule>
  </conditionalFormatting>
  <conditionalFormatting sqref="D36">
    <cfRule type="cellIs" dxfId="1721" priority="30" operator="lessThan">
      <formula>$E$36</formula>
    </cfRule>
  </conditionalFormatting>
  <conditionalFormatting sqref="E36">
    <cfRule type="cellIs" dxfId="1720" priority="29" operator="lessThan">
      <formula>$D$36</formula>
    </cfRule>
  </conditionalFormatting>
  <conditionalFormatting sqref="D37">
    <cfRule type="cellIs" dxfId="1719" priority="28" operator="lessThan">
      <formula>$E$37</formula>
    </cfRule>
  </conditionalFormatting>
  <conditionalFormatting sqref="E37">
    <cfRule type="cellIs" dxfId="1718" priority="27" operator="lessThan">
      <formula>$D$37</formula>
    </cfRule>
  </conditionalFormatting>
  <conditionalFormatting sqref="D38">
    <cfRule type="cellIs" dxfId="1717" priority="26" operator="lessThan">
      <formula>$E$38</formula>
    </cfRule>
  </conditionalFormatting>
  <conditionalFormatting sqref="E38">
    <cfRule type="cellIs" dxfId="1716" priority="25" operator="lessThan">
      <formula>$D$38</formula>
    </cfRule>
  </conditionalFormatting>
  <conditionalFormatting sqref="D39">
    <cfRule type="cellIs" dxfId="1715" priority="24" operator="lessThan">
      <formula>$E$39</formula>
    </cfRule>
  </conditionalFormatting>
  <conditionalFormatting sqref="E39">
    <cfRule type="cellIs" dxfId="1714" priority="23" operator="lessThan">
      <formula>$D$39</formula>
    </cfRule>
  </conditionalFormatting>
  <conditionalFormatting sqref="D40">
    <cfRule type="cellIs" dxfId="1713" priority="22" operator="lessThan">
      <formula>$E$40</formula>
    </cfRule>
  </conditionalFormatting>
  <conditionalFormatting sqref="E40">
    <cfRule type="cellIs" dxfId="1712" priority="21" operator="lessThan">
      <formula>$D$40</formula>
    </cfRule>
  </conditionalFormatting>
  <conditionalFormatting sqref="D41">
    <cfRule type="cellIs" dxfId="1711" priority="20" operator="lessThan">
      <formula>$E$41</formula>
    </cfRule>
  </conditionalFormatting>
  <conditionalFormatting sqref="E41">
    <cfRule type="cellIs" dxfId="1710" priority="19" operator="lessThan">
      <formula>$D$41</formula>
    </cfRule>
  </conditionalFormatting>
  <conditionalFormatting sqref="D42">
    <cfRule type="cellIs" dxfId="1709" priority="18" operator="lessThan">
      <formula>$E$42</formula>
    </cfRule>
  </conditionalFormatting>
  <conditionalFormatting sqref="E42">
    <cfRule type="cellIs" dxfId="1708" priority="17" operator="lessThan">
      <formula>$D$42</formula>
    </cfRule>
  </conditionalFormatting>
  <conditionalFormatting sqref="D43">
    <cfRule type="cellIs" dxfId="1707" priority="16" operator="lessThan">
      <formula>$E$43</formula>
    </cfRule>
  </conditionalFormatting>
  <conditionalFormatting sqref="E43">
    <cfRule type="cellIs" dxfId="1706" priority="15" operator="lessThan">
      <formula>$D$43</formula>
    </cfRule>
  </conditionalFormatting>
  <conditionalFormatting sqref="D44">
    <cfRule type="cellIs" dxfId="1705" priority="14" operator="lessThan">
      <formula>$E$44</formula>
    </cfRule>
  </conditionalFormatting>
  <conditionalFormatting sqref="E44">
    <cfRule type="cellIs" dxfId="1704" priority="13" operator="lessThan">
      <formula>$D$44</formula>
    </cfRule>
  </conditionalFormatting>
  <conditionalFormatting sqref="D45">
    <cfRule type="cellIs" dxfId="1703" priority="12" operator="lessThan">
      <formula>$E$45</formula>
    </cfRule>
  </conditionalFormatting>
  <conditionalFormatting sqref="E45">
    <cfRule type="cellIs" dxfId="1702" priority="11" operator="lessThan">
      <formula>$D$45</formula>
    </cfRule>
  </conditionalFormatting>
  <conditionalFormatting sqref="D46">
    <cfRule type="cellIs" dxfId="1701" priority="10" operator="lessThan">
      <formula>$E$46</formula>
    </cfRule>
  </conditionalFormatting>
  <conditionalFormatting sqref="E46">
    <cfRule type="cellIs" dxfId="1700" priority="9" operator="lessThan">
      <formula>$D$46</formula>
    </cfRule>
  </conditionalFormatting>
  <conditionalFormatting sqref="D47">
    <cfRule type="cellIs" dxfId="1699" priority="8" operator="lessThan">
      <formula>$E$47</formula>
    </cfRule>
  </conditionalFormatting>
  <conditionalFormatting sqref="E47">
    <cfRule type="cellIs" dxfId="1698" priority="7" operator="lessThan">
      <formula>$D$47</formula>
    </cfRule>
  </conditionalFormatting>
  <conditionalFormatting sqref="D48">
    <cfRule type="cellIs" dxfId="1697" priority="6" operator="lessThan">
      <formula>$E$48</formula>
    </cfRule>
  </conditionalFormatting>
  <conditionalFormatting sqref="E48">
    <cfRule type="cellIs" dxfId="1696" priority="5" operator="lessThan">
      <formula>$D$48</formula>
    </cfRule>
  </conditionalFormatting>
  <conditionalFormatting sqref="D49">
    <cfRule type="cellIs" dxfId="1695" priority="4" operator="lessThan">
      <formula>$E$49</formula>
    </cfRule>
  </conditionalFormatting>
  <conditionalFormatting sqref="E49">
    <cfRule type="cellIs" dxfId="1694" priority="3" operator="lessThan">
      <formula>$D$49</formula>
    </cfRule>
  </conditionalFormatting>
  <conditionalFormatting sqref="D50">
    <cfRule type="cellIs" dxfId="1693" priority="2" operator="lessThan">
      <formula>$E$50</formula>
    </cfRule>
  </conditionalFormatting>
  <conditionalFormatting sqref="E50">
    <cfRule type="cellIs" dxfId="1692" priority="1" operator="lessThan">
      <formula>$D$50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21" sqref="D21"/>
    </sheetView>
  </sheetViews>
  <sheetFormatPr baseColWidth="10" defaultRowHeight="15" x14ac:dyDescent="0.25"/>
  <sheetData>
    <row r="1" spans="1:18" x14ac:dyDescent="0.25">
      <c r="A1" s="1"/>
      <c r="B1" s="2">
        <f>AVERAGE(B4:B38)</f>
        <v>2.0691666666666664</v>
      </c>
      <c r="C1" s="2">
        <f>AVERAGE(C4:C30)</f>
        <v>1.9466666666666663</v>
      </c>
      <c r="D1" s="2">
        <f>AVERAGE(D4:D60)</f>
        <v>3.1233333333333335</v>
      </c>
      <c r="E1" s="2">
        <f>AVERAGE(E4:E60)</f>
        <v>3.24</v>
      </c>
      <c r="F1" s="1">
        <f>SUM(F4:F50)</f>
        <v>325.14</v>
      </c>
      <c r="G1" s="1">
        <f>D1-E1</f>
        <v>-0.1166666666666667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29.455399226363625</v>
      </c>
      <c r="H3" s="2">
        <f>L3/M3</f>
        <v>30.211979880962406</v>
      </c>
      <c r="I3" s="4">
        <f t="shared" ref="I3:R3" si="0">SUM(I4:I50)</f>
        <v>36.853080568720387</v>
      </c>
      <c r="J3" s="4">
        <f t="shared" si="0"/>
        <v>13.493080568720387</v>
      </c>
      <c r="K3" s="4">
        <f t="shared" si="0"/>
        <v>233.02759905213279</v>
      </c>
      <c r="L3" s="4">
        <f t="shared" si="0"/>
        <v>23302.759905213279</v>
      </c>
      <c r="M3" s="4">
        <f t="shared" si="0"/>
        <v>771.30859999999996</v>
      </c>
      <c r="N3" s="4">
        <f t="shared" si="0"/>
        <v>35.526066350710906</v>
      </c>
      <c r="O3" s="4">
        <f t="shared" si="0"/>
        <v>10.696066350710906</v>
      </c>
      <c r="P3" s="4">
        <f t="shared" si="0"/>
        <v>230.69721990521333</v>
      </c>
      <c r="Q3" s="4">
        <f t="shared" si="0"/>
        <v>23069.721990521335</v>
      </c>
      <c r="R3" s="4">
        <f t="shared" si="0"/>
        <v>783.20859999999993</v>
      </c>
    </row>
    <row r="4" spans="1:18" x14ac:dyDescent="0.25">
      <c r="A4" s="5" t="s">
        <v>82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s="5" t="s">
        <v>83</v>
      </c>
      <c r="B5">
        <v>2.39</v>
      </c>
      <c r="C5">
        <v>1.39</v>
      </c>
      <c r="D5">
        <v>3.99</v>
      </c>
      <c r="E5">
        <v>4.99</v>
      </c>
      <c r="F5">
        <v>5</v>
      </c>
      <c r="G5" s="1">
        <f t="shared" ref="G5:G51" si="5">Q5/R5</f>
        <v>34.886980484386335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16.699289099526069</v>
      </c>
      <c r="L5">
        <f t="shared" ref="L5:L51" si="7">K5*100</f>
        <v>1669.928909952607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1.3919905213270147</v>
      </c>
      <c r="P5">
        <f t="shared" ref="P5:P51" si="10">O5*F5</f>
        <v>6.9599526066350741</v>
      </c>
      <c r="Q5">
        <f t="shared" ref="Q5:Q51" si="11">P5*100</f>
        <v>695.99526066350745</v>
      </c>
      <c r="R5">
        <f t="shared" ref="R5:R51" si="12">D5*F5</f>
        <v>19.950000000000003</v>
      </c>
    </row>
    <row r="6" spans="1:18" x14ac:dyDescent="0.25">
      <c r="A6" s="5" t="s">
        <v>84</v>
      </c>
      <c r="B6">
        <v>2.99</v>
      </c>
      <c r="C6">
        <v>2.9</v>
      </c>
      <c r="D6">
        <v>4.79</v>
      </c>
      <c r="E6">
        <v>4.99</v>
      </c>
      <c r="F6">
        <v>20</v>
      </c>
      <c r="G6" s="1">
        <f t="shared" si="5"/>
        <v>32.36501795802868</v>
      </c>
      <c r="H6" s="1">
        <f t="shared" si="6"/>
        <v>36.670497392890056</v>
      </c>
      <c r="I6">
        <f t="shared" si="1"/>
        <v>4.7298578199052139</v>
      </c>
      <c r="J6">
        <f t="shared" si="2"/>
        <v>1.829857819905214</v>
      </c>
      <c r="K6">
        <f t="shared" si="3"/>
        <v>36.597156398104282</v>
      </c>
      <c r="L6">
        <f t="shared" si="7"/>
        <v>3659.715639810428</v>
      </c>
      <c r="M6">
        <f t="shared" si="4"/>
        <v>99.800000000000011</v>
      </c>
      <c r="N6">
        <f t="shared" si="8"/>
        <v>4.5402843601895739</v>
      </c>
      <c r="O6">
        <f t="shared" si="9"/>
        <v>1.5502843601895737</v>
      </c>
      <c r="P6">
        <f t="shared" si="10"/>
        <v>31.005687203791474</v>
      </c>
      <c r="Q6">
        <f t="shared" si="11"/>
        <v>3100.5687203791476</v>
      </c>
      <c r="R6">
        <f t="shared" si="12"/>
        <v>95.8</v>
      </c>
    </row>
    <row r="7" spans="1:18" x14ac:dyDescent="0.25">
      <c r="A7" s="5" t="s">
        <v>85</v>
      </c>
      <c r="B7">
        <v>1.99</v>
      </c>
      <c r="C7">
        <v>1.89</v>
      </c>
      <c r="D7">
        <v>3.49</v>
      </c>
      <c r="E7">
        <v>2.99</v>
      </c>
      <c r="F7">
        <v>30</v>
      </c>
      <c r="G7" s="1">
        <f t="shared" si="5"/>
        <v>37.766672551229654</v>
      </c>
      <c r="H7" s="1">
        <f t="shared" si="6"/>
        <v>31.576027516682785</v>
      </c>
      <c r="I7">
        <f t="shared" si="1"/>
        <v>2.8341232227488153</v>
      </c>
      <c r="J7">
        <f t="shared" si="2"/>
        <v>0.94412322274881544</v>
      </c>
      <c r="K7">
        <f t="shared" si="3"/>
        <v>28.323696682464462</v>
      </c>
      <c r="L7">
        <f t="shared" si="7"/>
        <v>2832.3696682464461</v>
      </c>
      <c r="M7">
        <f t="shared" si="4"/>
        <v>89.7</v>
      </c>
      <c r="N7">
        <f t="shared" si="8"/>
        <v>3.3080568720379149</v>
      </c>
      <c r="O7">
        <f t="shared" si="9"/>
        <v>1.3180568720379149</v>
      </c>
      <c r="P7">
        <f t="shared" si="10"/>
        <v>39.541706161137448</v>
      </c>
      <c r="Q7">
        <f t="shared" si="11"/>
        <v>3954.1706161137449</v>
      </c>
      <c r="R7">
        <f t="shared" si="12"/>
        <v>104.7</v>
      </c>
    </row>
    <row r="8" spans="1:18" x14ac:dyDescent="0.25">
      <c r="A8" s="5" t="s">
        <v>86</v>
      </c>
      <c r="B8">
        <v>2.8</v>
      </c>
      <c r="C8">
        <v>2.65</v>
      </c>
      <c r="D8">
        <v>3.99</v>
      </c>
      <c r="E8">
        <v>3.99</v>
      </c>
      <c r="F8">
        <v>10</v>
      </c>
      <c r="G8" s="1">
        <f t="shared" si="5"/>
        <v>24.611291261328695</v>
      </c>
      <c r="H8" s="1">
        <f t="shared" si="6"/>
        <v>28.370689757569298</v>
      </c>
      <c r="I8">
        <f t="shared" si="1"/>
        <v>3.7819905213270149</v>
      </c>
      <c r="J8">
        <f t="shared" si="2"/>
        <v>1.1319905213270149</v>
      </c>
      <c r="K8">
        <f t="shared" si="3"/>
        <v>11.31990521327015</v>
      </c>
      <c r="L8">
        <f t="shared" si="7"/>
        <v>1131.9905213270151</v>
      </c>
      <c r="M8">
        <f t="shared" si="4"/>
        <v>39.900000000000006</v>
      </c>
      <c r="N8">
        <f t="shared" si="8"/>
        <v>3.7819905213270149</v>
      </c>
      <c r="O8">
        <f t="shared" si="9"/>
        <v>0.98199052132701503</v>
      </c>
      <c r="P8">
        <f t="shared" si="10"/>
        <v>9.8199052132701503</v>
      </c>
      <c r="Q8">
        <f t="shared" si="11"/>
        <v>981.99052132701502</v>
      </c>
      <c r="R8">
        <f t="shared" si="12"/>
        <v>39.900000000000006</v>
      </c>
    </row>
    <row r="9" spans="1:18" x14ac:dyDescent="0.25">
      <c r="A9" s="5" t="s">
        <v>87</v>
      </c>
      <c r="B9">
        <v>1.45</v>
      </c>
      <c r="C9">
        <v>1.4</v>
      </c>
      <c r="D9">
        <v>1.89</v>
      </c>
      <c r="E9">
        <v>1.99</v>
      </c>
      <c r="F9">
        <v>12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5.8350710900473963</v>
      </c>
      <c r="L9">
        <f t="shared" si="7"/>
        <v>583.50710900473962</v>
      </c>
      <c r="M9">
        <f t="shared" si="4"/>
        <v>23.88</v>
      </c>
      <c r="N9">
        <f t="shared" si="8"/>
        <v>1.7914691943127963</v>
      </c>
      <c r="O9">
        <f t="shared" si="9"/>
        <v>0.34146919431279632</v>
      </c>
      <c r="P9">
        <f t="shared" si="10"/>
        <v>4.0976303317535558</v>
      </c>
      <c r="Q9">
        <f t="shared" si="11"/>
        <v>409.76303317535559</v>
      </c>
      <c r="R9">
        <f t="shared" si="12"/>
        <v>22.68</v>
      </c>
    </row>
    <row r="10" spans="1:18" x14ac:dyDescent="0.25">
      <c r="A10" s="5" t="s">
        <v>88</v>
      </c>
      <c r="B10">
        <v>1.45</v>
      </c>
      <c r="C10">
        <v>1.4</v>
      </c>
      <c r="D10">
        <v>1.89</v>
      </c>
      <c r="E10">
        <v>1.99</v>
      </c>
      <c r="F10">
        <v>12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5.8350710900473963</v>
      </c>
      <c r="L10">
        <f t="shared" si="7"/>
        <v>583.50710900473962</v>
      </c>
      <c r="M10">
        <f t="shared" si="4"/>
        <v>23.88</v>
      </c>
      <c r="N10">
        <f t="shared" si="8"/>
        <v>1.7914691943127963</v>
      </c>
      <c r="O10">
        <f t="shared" si="9"/>
        <v>0.34146919431279632</v>
      </c>
      <c r="P10">
        <f t="shared" si="10"/>
        <v>4.0976303317535558</v>
      </c>
      <c r="Q10">
        <f t="shared" si="11"/>
        <v>409.76303317535559</v>
      </c>
      <c r="R10">
        <f t="shared" si="12"/>
        <v>22.68</v>
      </c>
    </row>
    <row r="11" spans="1:18" x14ac:dyDescent="0.25">
      <c r="A11" s="5" t="s">
        <v>89</v>
      </c>
      <c r="B11">
        <v>2.79</v>
      </c>
      <c r="C11">
        <v>2.6</v>
      </c>
      <c r="D11">
        <v>4.49</v>
      </c>
      <c r="E11">
        <v>4.99</v>
      </c>
      <c r="F11">
        <v>5</v>
      </c>
      <c r="G11" s="1">
        <f t="shared" si="5"/>
        <v>32.648645225303213</v>
      </c>
      <c r="H11" s="1">
        <f t="shared" si="6"/>
        <v>42.682521440986235</v>
      </c>
      <c r="I11">
        <f t="shared" si="1"/>
        <v>4.7298578199052139</v>
      </c>
      <c r="J11">
        <f t="shared" si="2"/>
        <v>2.1298578199052138</v>
      </c>
      <c r="K11">
        <f t="shared" si="3"/>
        <v>10.649289099526069</v>
      </c>
      <c r="L11">
        <f t="shared" si="7"/>
        <v>1064.9289099526068</v>
      </c>
      <c r="M11">
        <f t="shared" si="4"/>
        <v>24.950000000000003</v>
      </c>
      <c r="N11">
        <f t="shared" si="8"/>
        <v>4.2559241706161144</v>
      </c>
      <c r="O11">
        <f t="shared" si="9"/>
        <v>1.4659241706161144</v>
      </c>
      <c r="P11">
        <f t="shared" si="10"/>
        <v>7.3296208530805718</v>
      </c>
      <c r="Q11">
        <f t="shared" si="11"/>
        <v>732.96208530805723</v>
      </c>
      <c r="R11">
        <f t="shared" si="12"/>
        <v>22.450000000000003</v>
      </c>
    </row>
    <row r="12" spans="1:18" x14ac:dyDescent="0.25">
      <c r="A12" s="5" t="s">
        <v>90</v>
      </c>
      <c r="B12">
        <v>1.05</v>
      </c>
      <c r="C12">
        <v>0.95</v>
      </c>
      <c r="D12">
        <v>1.59</v>
      </c>
      <c r="E12">
        <v>1.49</v>
      </c>
      <c r="F12">
        <v>120</v>
      </c>
      <c r="G12" s="1">
        <f t="shared" si="5"/>
        <v>28.748994008763308</v>
      </c>
      <c r="H12" s="1">
        <f t="shared" si="6"/>
        <v>31.028340596074951</v>
      </c>
      <c r="I12">
        <f t="shared" si="1"/>
        <v>1.4123222748815167</v>
      </c>
      <c r="J12">
        <f t="shared" si="2"/>
        <v>0.46232227488151678</v>
      </c>
      <c r="K12">
        <f t="shared" si="3"/>
        <v>55.478672985782012</v>
      </c>
      <c r="L12">
        <f t="shared" si="7"/>
        <v>5547.8672985782014</v>
      </c>
      <c r="M12">
        <f t="shared" si="4"/>
        <v>178.8</v>
      </c>
      <c r="N12">
        <f t="shared" si="8"/>
        <v>1.5071090047393367</v>
      </c>
      <c r="O12">
        <f t="shared" si="9"/>
        <v>0.45710900473933669</v>
      </c>
      <c r="P12">
        <f t="shared" si="10"/>
        <v>54.853080568720401</v>
      </c>
      <c r="Q12">
        <f t="shared" si="11"/>
        <v>5485.3080568720397</v>
      </c>
      <c r="R12">
        <f t="shared" si="12"/>
        <v>190.8</v>
      </c>
    </row>
    <row r="13" spans="1:18" x14ac:dyDescent="0.25">
      <c r="A13" s="5" t="s">
        <v>91</v>
      </c>
      <c r="B13">
        <v>1.28</v>
      </c>
      <c r="C13">
        <v>1.4</v>
      </c>
      <c r="D13">
        <v>1.99</v>
      </c>
      <c r="E13">
        <v>1.99</v>
      </c>
      <c r="F13">
        <v>72</v>
      </c>
      <c r="G13" s="1">
        <f t="shared" si="5"/>
        <v>30.465121817618908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35.010426540284378</v>
      </c>
      <c r="L13">
        <f t="shared" si="7"/>
        <v>3501.0426540284379</v>
      </c>
      <c r="M13">
        <f t="shared" si="4"/>
        <v>143.28</v>
      </c>
      <c r="N13">
        <f t="shared" si="8"/>
        <v>1.8862559241706163</v>
      </c>
      <c r="O13">
        <f t="shared" si="9"/>
        <v>0.60625592417061624</v>
      </c>
      <c r="P13">
        <f t="shared" si="10"/>
        <v>43.650426540284371</v>
      </c>
      <c r="Q13">
        <f t="shared" si="11"/>
        <v>4365.042654028437</v>
      </c>
      <c r="R13">
        <f t="shared" si="12"/>
        <v>143.28</v>
      </c>
    </row>
    <row r="14" spans="1:18" x14ac:dyDescent="0.25">
      <c r="A14" s="5" t="s">
        <v>92</v>
      </c>
      <c r="B14">
        <v>2.79</v>
      </c>
      <c r="C14">
        <v>2.79</v>
      </c>
      <c r="D14">
        <v>3.99</v>
      </c>
      <c r="E14">
        <v>3.99</v>
      </c>
      <c r="F14">
        <v>7.14</v>
      </c>
      <c r="G14" s="1">
        <f t="shared" si="5"/>
        <v>24.86191782774473</v>
      </c>
      <c r="H14" s="1">
        <f t="shared" si="6"/>
        <v>24.86191782774473</v>
      </c>
      <c r="I14">
        <f t="shared" si="1"/>
        <v>3.7819905213270149</v>
      </c>
      <c r="J14">
        <f t="shared" si="2"/>
        <v>0.99199052132701482</v>
      </c>
      <c r="K14">
        <f t="shared" si="3"/>
        <v>7.0828123222748856</v>
      </c>
      <c r="L14">
        <f t="shared" si="7"/>
        <v>708.28123222748854</v>
      </c>
      <c r="M14">
        <f t="shared" si="4"/>
        <v>28.488600000000002</v>
      </c>
      <c r="N14">
        <f t="shared" si="8"/>
        <v>3.7819905213270149</v>
      </c>
      <c r="O14">
        <f t="shared" si="9"/>
        <v>0.99199052132701482</v>
      </c>
      <c r="P14">
        <f t="shared" si="10"/>
        <v>7.0828123222748856</v>
      </c>
      <c r="Q14">
        <f t="shared" si="11"/>
        <v>708.28123222748854</v>
      </c>
      <c r="R14">
        <f t="shared" si="12"/>
        <v>28.488600000000002</v>
      </c>
    </row>
    <row r="15" spans="1:18" x14ac:dyDescent="0.25">
      <c r="A15" s="5" t="s">
        <v>93</v>
      </c>
      <c r="B15">
        <v>1.45</v>
      </c>
      <c r="C15">
        <v>1.4</v>
      </c>
      <c r="D15">
        <v>1.89</v>
      </c>
      <c r="E15">
        <v>1.99</v>
      </c>
      <c r="F15">
        <v>12</v>
      </c>
      <c r="G15" s="1">
        <f t="shared" si="5"/>
        <v>18.067153138243192</v>
      </c>
      <c r="H15" s="1">
        <f t="shared" si="6"/>
        <v>24.434971063850067</v>
      </c>
      <c r="I15">
        <f t="shared" si="1"/>
        <v>1.8862559241706163</v>
      </c>
      <c r="J15">
        <f t="shared" si="2"/>
        <v>0.48625592417061636</v>
      </c>
      <c r="K15">
        <f t="shared" si="3"/>
        <v>5.8350710900473963</v>
      </c>
      <c r="L15">
        <f t="shared" si="7"/>
        <v>583.50710900473962</v>
      </c>
      <c r="M15">
        <f t="shared" si="4"/>
        <v>23.88</v>
      </c>
      <c r="N15">
        <f t="shared" si="8"/>
        <v>1.7914691943127963</v>
      </c>
      <c r="O15">
        <f t="shared" si="9"/>
        <v>0.34146919431279632</v>
      </c>
      <c r="P15">
        <f t="shared" si="10"/>
        <v>4.0976303317535558</v>
      </c>
      <c r="Q15">
        <f t="shared" si="11"/>
        <v>409.76303317535559</v>
      </c>
      <c r="R15">
        <f t="shared" si="12"/>
        <v>22.68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691" priority="188" operator="lessThan">
      <formula>$C$4</formula>
    </cfRule>
  </conditionalFormatting>
  <conditionalFormatting sqref="C4">
    <cfRule type="cellIs" dxfId="1690" priority="187" operator="lessThan">
      <formula>$B$4</formula>
    </cfRule>
  </conditionalFormatting>
  <conditionalFormatting sqref="B5">
    <cfRule type="cellIs" dxfId="1689" priority="186" operator="lessThan">
      <formula>$C$5</formula>
    </cfRule>
  </conditionalFormatting>
  <conditionalFormatting sqref="C5">
    <cfRule type="cellIs" dxfId="1688" priority="185" operator="lessThan">
      <formula>$B$5</formula>
    </cfRule>
  </conditionalFormatting>
  <conditionalFormatting sqref="B6">
    <cfRule type="cellIs" dxfId="1687" priority="184" operator="lessThan">
      <formula>$C$6</formula>
    </cfRule>
  </conditionalFormatting>
  <conditionalFormatting sqref="C6">
    <cfRule type="cellIs" dxfId="1686" priority="183" operator="lessThan">
      <formula>$B$6</formula>
    </cfRule>
  </conditionalFormatting>
  <conditionalFormatting sqref="B7">
    <cfRule type="cellIs" dxfId="1685" priority="182" operator="lessThan">
      <formula>$C$7</formula>
    </cfRule>
  </conditionalFormatting>
  <conditionalFormatting sqref="C7">
    <cfRule type="cellIs" dxfId="1684" priority="181" operator="lessThan">
      <formula>$B$7</formula>
    </cfRule>
  </conditionalFormatting>
  <conditionalFormatting sqref="B8">
    <cfRule type="cellIs" dxfId="1683" priority="180" operator="lessThan">
      <formula>$C$8</formula>
    </cfRule>
  </conditionalFormatting>
  <conditionalFormatting sqref="C8">
    <cfRule type="cellIs" dxfId="1682" priority="179" operator="lessThan">
      <formula>$B$8</formula>
    </cfRule>
  </conditionalFormatting>
  <conditionalFormatting sqref="B9">
    <cfRule type="cellIs" dxfId="1681" priority="178" operator="lessThan">
      <formula>$C$9</formula>
    </cfRule>
  </conditionalFormatting>
  <conditionalFormatting sqref="C9">
    <cfRule type="cellIs" dxfId="1680" priority="177" operator="lessThan">
      <formula>$B$9</formula>
    </cfRule>
  </conditionalFormatting>
  <conditionalFormatting sqref="B10">
    <cfRule type="cellIs" dxfId="1679" priority="176" operator="lessThan">
      <formula>$C$10</formula>
    </cfRule>
  </conditionalFormatting>
  <conditionalFormatting sqref="C10">
    <cfRule type="cellIs" dxfId="1678" priority="175" operator="lessThan">
      <formula>$B$10</formula>
    </cfRule>
  </conditionalFormatting>
  <conditionalFormatting sqref="B11">
    <cfRule type="cellIs" dxfId="1677" priority="174" operator="lessThan">
      <formula>$C$11</formula>
    </cfRule>
  </conditionalFormatting>
  <conditionalFormatting sqref="C11">
    <cfRule type="cellIs" dxfId="1676" priority="173" operator="lessThan">
      <formula>$B$11</formula>
    </cfRule>
  </conditionalFormatting>
  <conditionalFormatting sqref="B12">
    <cfRule type="cellIs" dxfId="1675" priority="172" operator="lessThan">
      <formula>$C$12</formula>
    </cfRule>
  </conditionalFormatting>
  <conditionalFormatting sqref="C12">
    <cfRule type="cellIs" dxfId="1674" priority="171" operator="lessThan">
      <formula>$B$12</formula>
    </cfRule>
  </conditionalFormatting>
  <conditionalFormatting sqref="B13">
    <cfRule type="cellIs" dxfId="1673" priority="170" operator="lessThan">
      <formula>$C$13</formula>
    </cfRule>
  </conditionalFormatting>
  <conditionalFormatting sqref="C13">
    <cfRule type="cellIs" dxfId="1672" priority="169" operator="lessThan">
      <formula>$B$13</formula>
    </cfRule>
  </conditionalFormatting>
  <conditionalFormatting sqref="B14">
    <cfRule type="cellIs" dxfId="1671" priority="168" operator="lessThan">
      <formula>$C$14</formula>
    </cfRule>
  </conditionalFormatting>
  <conditionalFormatting sqref="C14">
    <cfRule type="cellIs" dxfId="1670" priority="167" operator="lessThan">
      <formula>$B$14</formula>
    </cfRule>
  </conditionalFormatting>
  <conditionalFormatting sqref="B15">
    <cfRule type="cellIs" dxfId="1669" priority="166" operator="lessThan">
      <formula>$C$15</formula>
    </cfRule>
  </conditionalFormatting>
  <conditionalFormatting sqref="C15">
    <cfRule type="cellIs" dxfId="1668" priority="165" operator="lessThan">
      <formula>$B$15</formula>
    </cfRule>
  </conditionalFormatting>
  <conditionalFormatting sqref="B16">
    <cfRule type="cellIs" dxfId="1667" priority="164" operator="lessThan">
      <formula>$C$16</formula>
    </cfRule>
  </conditionalFormatting>
  <conditionalFormatting sqref="C16">
    <cfRule type="cellIs" dxfId="1666" priority="163" operator="lessThan">
      <formula>$B$16</formula>
    </cfRule>
  </conditionalFormatting>
  <conditionalFormatting sqref="B17">
    <cfRule type="cellIs" dxfId="1665" priority="162" operator="lessThan">
      <formula>$C$17</formula>
    </cfRule>
  </conditionalFormatting>
  <conditionalFormatting sqref="C17">
    <cfRule type="cellIs" dxfId="1664" priority="161" operator="lessThan">
      <formula>$B$17</formula>
    </cfRule>
  </conditionalFormatting>
  <conditionalFormatting sqref="B18">
    <cfRule type="cellIs" dxfId="1663" priority="160" operator="lessThan">
      <formula>$C$18</formula>
    </cfRule>
  </conditionalFormatting>
  <conditionalFormatting sqref="C18">
    <cfRule type="cellIs" dxfId="1662" priority="159" operator="lessThan">
      <formula>$B$18</formula>
    </cfRule>
  </conditionalFormatting>
  <conditionalFormatting sqref="C19">
    <cfRule type="cellIs" dxfId="1661" priority="158" operator="lessThan">
      <formula>$B$19</formula>
    </cfRule>
  </conditionalFormatting>
  <conditionalFormatting sqref="B19">
    <cfRule type="cellIs" dxfId="1660" priority="157" operator="lessThan">
      <formula>$C$19</formula>
    </cfRule>
  </conditionalFormatting>
  <conditionalFormatting sqref="B20">
    <cfRule type="cellIs" dxfId="1659" priority="156" operator="lessThan">
      <formula>$C$20</formula>
    </cfRule>
  </conditionalFormatting>
  <conditionalFormatting sqref="C20">
    <cfRule type="cellIs" dxfId="1658" priority="155" operator="lessThan">
      <formula>$B$20</formula>
    </cfRule>
  </conditionalFormatting>
  <conditionalFormatting sqref="B21">
    <cfRule type="cellIs" dxfId="1657" priority="154" operator="lessThan">
      <formula>$C$21</formula>
    </cfRule>
  </conditionalFormatting>
  <conditionalFormatting sqref="C21">
    <cfRule type="cellIs" dxfId="1656" priority="153" operator="lessThan">
      <formula>$B$21</formula>
    </cfRule>
  </conditionalFormatting>
  <conditionalFormatting sqref="B22">
    <cfRule type="cellIs" dxfId="1655" priority="152" operator="lessThan">
      <formula>$C$22</formula>
    </cfRule>
  </conditionalFormatting>
  <conditionalFormatting sqref="C22">
    <cfRule type="cellIs" dxfId="1654" priority="151" operator="lessThan">
      <formula>$B$22</formula>
    </cfRule>
  </conditionalFormatting>
  <conditionalFormatting sqref="B23">
    <cfRule type="cellIs" dxfId="1653" priority="150" operator="lessThan">
      <formula>$C$23</formula>
    </cfRule>
  </conditionalFormatting>
  <conditionalFormatting sqref="C23">
    <cfRule type="cellIs" dxfId="1652" priority="149" operator="lessThan">
      <formula>$B$23</formula>
    </cfRule>
  </conditionalFormatting>
  <conditionalFormatting sqref="B24">
    <cfRule type="cellIs" dxfId="1651" priority="148" operator="lessThan">
      <formula>$C$24</formula>
    </cfRule>
  </conditionalFormatting>
  <conditionalFormatting sqref="C24">
    <cfRule type="cellIs" dxfId="1650" priority="147" operator="lessThan">
      <formula>$B$24</formula>
    </cfRule>
  </conditionalFormatting>
  <conditionalFormatting sqref="B25">
    <cfRule type="cellIs" dxfId="1649" priority="146" operator="lessThan">
      <formula>$C$25</formula>
    </cfRule>
  </conditionalFormatting>
  <conditionalFormatting sqref="C25">
    <cfRule type="cellIs" dxfId="1648" priority="145" operator="lessThan">
      <formula>$B$25</formula>
    </cfRule>
  </conditionalFormatting>
  <conditionalFormatting sqref="B26">
    <cfRule type="cellIs" dxfId="1647" priority="144" operator="lessThan">
      <formula>$C$26</formula>
    </cfRule>
  </conditionalFormatting>
  <conditionalFormatting sqref="C26">
    <cfRule type="cellIs" dxfId="1646" priority="143" operator="lessThan">
      <formula>$B$26</formula>
    </cfRule>
  </conditionalFormatting>
  <conditionalFormatting sqref="B27">
    <cfRule type="cellIs" dxfId="1645" priority="142" operator="lessThan">
      <formula>$C$27</formula>
    </cfRule>
  </conditionalFormatting>
  <conditionalFormatting sqref="C27">
    <cfRule type="cellIs" dxfId="1644" priority="141" operator="lessThan">
      <formula>$B$27</formula>
    </cfRule>
  </conditionalFormatting>
  <conditionalFormatting sqref="B28">
    <cfRule type="cellIs" dxfId="1643" priority="140" operator="lessThan">
      <formula>$C$28</formula>
    </cfRule>
  </conditionalFormatting>
  <conditionalFormatting sqref="C28">
    <cfRule type="cellIs" dxfId="1642" priority="139" operator="lessThan">
      <formula>$B$28</formula>
    </cfRule>
  </conditionalFormatting>
  <conditionalFormatting sqref="B29">
    <cfRule type="cellIs" dxfId="1641" priority="138" operator="lessThan">
      <formula>$C$29</formula>
    </cfRule>
  </conditionalFormatting>
  <conditionalFormatting sqref="C29">
    <cfRule type="cellIs" dxfId="1640" priority="137" operator="lessThan">
      <formula>$B$29</formula>
    </cfRule>
  </conditionalFormatting>
  <conditionalFormatting sqref="B30">
    <cfRule type="cellIs" dxfId="1639" priority="136" operator="lessThan">
      <formula>$C$30</formula>
    </cfRule>
  </conditionalFormatting>
  <conditionalFormatting sqref="C30">
    <cfRule type="cellIs" dxfId="1638" priority="135" operator="lessThan">
      <formula>$B$30</formula>
    </cfRule>
  </conditionalFormatting>
  <conditionalFormatting sqref="B31">
    <cfRule type="cellIs" dxfId="1637" priority="134" operator="lessThan">
      <formula>$C$31</formula>
    </cfRule>
  </conditionalFormatting>
  <conditionalFormatting sqref="C31">
    <cfRule type="cellIs" dxfId="1636" priority="133" operator="lessThan">
      <formula>$B$31</formula>
    </cfRule>
  </conditionalFormatting>
  <conditionalFormatting sqref="B32">
    <cfRule type="cellIs" dxfId="1635" priority="132" operator="lessThan">
      <formula>$C$32</formula>
    </cfRule>
  </conditionalFormatting>
  <conditionalFormatting sqref="C32">
    <cfRule type="cellIs" dxfId="1634" priority="131" operator="lessThan">
      <formula>$B$32</formula>
    </cfRule>
  </conditionalFormatting>
  <conditionalFormatting sqref="B33">
    <cfRule type="cellIs" dxfId="1633" priority="130" operator="lessThan">
      <formula>$C$33</formula>
    </cfRule>
  </conditionalFormatting>
  <conditionalFormatting sqref="C33">
    <cfRule type="cellIs" dxfId="1632" priority="129" operator="lessThan">
      <formula>$B$33</formula>
    </cfRule>
  </conditionalFormatting>
  <conditionalFormatting sqref="B34">
    <cfRule type="cellIs" dxfId="1631" priority="128" operator="lessThan">
      <formula>$C$34</formula>
    </cfRule>
  </conditionalFormatting>
  <conditionalFormatting sqref="C34">
    <cfRule type="cellIs" dxfId="1630" priority="127" operator="lessThan">
      <formula>$B$34</formula>
    </cfRule>
  </conditionalFormatting>
  <conditionalFormatting sqref="B35">
    <cfRule type="cellIs" dxfId="1629" priority="126" operator="lessThan">
      <formula>$C$35</formula>
    </cfRule>
  </conditionalFormatting>
  <conditionalFormatting sqref="C35">
    <cfRule type="cellIs" dxfId="1628" priority="125" operator="lessThan">
      <formula>$B$35</formula>
    </cfRule>
  </conditionalFormatting>
  <conditionalFormatting sqref="B36">
    <cfRule type="cellIs" dxfId="1627" priority="124" operator="lessThan">
      <formula>$C$36</formula>
    </cfRule>
  </conditionalFormatting>
  <conditionalFormatting sqref="C36">
    <cfRule type="cellIs" dxfId="1626" priority="123" operator="lessThan">
      <formula>$B$36</formula>
    </cfRule>
  </conditionalFormatting>
  <conditionalFormatting sqref="B37">
    <cfRule type="cellIs" dxfId="1625" priority="122" operator="lessThan">
      <formula>$C$37</formula>
    </cfRule>
  </conditionalFormatting>
  <conditionalFormatting sqref="C37">
    <cfRule type="cellIs" dxfId="1624" priority="121" operator="lessThan">
      <formula>$B$37</formula>
    </cfRule>
  </conditionalFormatting>
  <conditionalFormatting sqref="B38">
    <cfRule type="cellIs" dxfId="1623" priority="120" operator="lessThan">
      <formula>$C$38</formula>
    </cfRule>
  </conditionalFormatting>
  <conditionalFormatting sqref="C38">
    <cfRule type="cellIs" dxfId="1622" priority="119" operator="lessThan">
      <formula>$B$38</formula>
    </cfRule>
  </conditionalFormatting>
  <conditionalFormatting sqref="B39">
    <cfRule type="cellIs" dxfId="1621" priority="118" operator="lessThan">
      <formula>$C$39</formula>
    </cfRule>
  </conditionalFormatting>
  <conditionalFormatting sqref="C39">
    <cfRule type="cellIs" dxfId="1620" priority="117" operator="lessThan">
      <formula>$B$39</formula>
    </cfRule>
  </conditionalFormatting>
  <conditionalFormatting sqref="B40">
    <cfRule type="cellIs" dxfId="1619" priority="116" operator="lessThan">
      <formula>$C$40</formula>
    </cfRule>
  </conditionalFormatting>
  <conditionalFormatting sqref="C40">
    <cfRule type="cellIs" dxfId="1618" priority="115" operator="lessThan">
      <formula>$B$40</formula>
    </cfRule>
  </conditionalFormatting>
  <conditionalFormatting sqref="B41">
    <cfRule type="cellIs" dxfId="1617" priority="114" operator="lessThan">
      <formula>$C$41</formula>
    </cfRule>
  </conditionalFormatting>
  <conditionalFormatting sqref="C41">
    <cfRule type="cellIs" dxfId="1616" priority="113" operator="lessThan">
      <formula>$B$41</formula>
    </cfRule>
  </conditionalFormatting>
  <conditionalFormatting sqref="B42">
    <cfRule type="cellIs" dxfId="1615" priority="112" operator="lessThan">
      <formula>$C$42</formula>
    </cfRule>
  </conditionalFormatting>
  <conditionalFormatting sqref="C42">
    <cfRule type="cellIs" dxfId="1614" priority="111" operator="lessThan">
      <formula>$B$42</formula>
    </cfRule>
  </conditionalFormatting>
  <conditionalFormatting sqref="B43">
    <cfRule type="cellIs" dxfId="1613" priority="110" operator="lessThan">
      <formula>$C$43</formula>
    </cfRule>
  </conditionalFormatting>
  <conditionalFormatting sqref="C43">
    <cfRule type="cellIs" dxfId="1612" priority="109" operator="lessThan">
      <formula>$B$43</formula>
    </cfRule>
  </conditionalFormatting>
  <conditionalFormatting sqref="B44">
    <cfRule type="cellIs" dxfId="1611" priority="108" operator="lessThan">
      <formula>$C$44</formula>
    </cfRule>
  </conditionalFormatting>
  <conditionalFormatting sqref="C44">
    <cfRule type="cellIs" dxfId="1610" priority="107" operator="lessThan">
      <formula>$B$44</formula>
    </cfRule>
  </conditionalFormatting>
  <conditionalFormatting sqref="B45">
    <cfRule type="cellIs" dxfId="1609" priority="106" operator="lessThan">
      <formula>$C$45</formula>
    </cfRule>
  </conditionalFormatting>
  <conditionalFormatting sqref="C45">
    <cfRule type="cellIs" dxfId="1608" priority="105" operator="lessThan">
      <formula>$B$45</formula>
    </cfRule>
  </conditionalFormatting>
  <conditionalFormatting sqref="B46">
    <cfRule type="cellIs" dxfId="1607" priority="104" operator="lessThan">
      <formula>$C$46</formula>
    </cfRule>
  </conditionalFormatting>
  <conditionalFormatting sqref="C46">
    <cfRule type="cellIs" dxfId="1606" priority="103" operator="lessThan">
      <formula>$B$46</formula>
    </cfRule>
  </conditionalFormatting>
  <conditionalFormatting sqref="B47">
    <cfRule type="cellIs" dxfId="1605" priority="102" operator="lessThan">
      <formula>$C$47</formula>
    </cfRule>
  </conditionalFormatting>
  <conditionalFormatting sqref="C47">
    <cfRule type="cellIs" dxfId="1604" priority="101" operator="lessThan">
      <formula>$B$47</formula>
    </cfRule>
  </conditionalFormatting>
  <conditionalFormatting sqref="B48">
    <cfRule type="cellIs" dxfId="1603" priority="100" operator="lessThan">
      <formula>$C$48</formula>
    </cfRule>
  </conditionalFormatting>
  <conditionalFormatting sqref="C48">
    <cfRule type="cellIs" dxfId="1602" priority="99" operator="lessThan">
      <formula>$B$48</formula>
    </cfRule>
  </conditionalFormatting>
  <conditionalFormatting sqref="B49">
    <cfRule type="cellIs" dxfId="1601" priority="98" operator="lessThan">
      <formula>$C$49</formula>
    </cfRule>
  </conditionalFormatting>
  <conditionalFormatting sqref="C49">
    <cfRule type="cellIs" dxfId="1600" priority="97" operator="lessThan">
      <formula>$B$49</formula>
    </cfRule>
  </conditionalFormatting>
  <conditionalFormatting sqref="B50">
    <cfRule type="cellIs" dxfId="1599" priority="96" operator="lessThan">
      <formula>$C$50</formula>
    </cfRule>
  </conditionalFormatting>
  <conditionalFormatting sqref="C50">
    <cfRule type="cellIs" dxfId="1598" priority="95" operator="lessThan">
      <formula>$B$50</formula>
    </cfRule>
  </conditionalFormatting>
  <conditionalFormatting sqref="D4">
    <cfRule type="cellIs" dxfId="1597" priority="94" operator="lessThan">
      <formula>$E$4</formula>
    </cfRule>
  </conditionalFormatting>
  <conditionalFormatting sqref="E4">
    <cfRule type="cellIs" dxfId="1596" priority="93" operator="lessThan">
      <formula>$D$4</formula>
    </cfRule>
  </conditionalFormatting>
  <conditionalFormatting sqref="D5">
    <cfRule type="cellIs" dxfId="1595" priority="92" operator="lessThan">
      <formula>$E$5</formula>
    </cfRule>
  </conditionalFormatting>
  <conditionalFormatting sqref="E5">
    <cfRule type="cellIs" dxfId="1594" priority="91" operator="lessThan">
      <formula>$D$5</formula>
    </cfRule>
  </conditionalFormatting>
  <conditionalFormatting sqref="D6">
    <cfRule type="cellIs" dxfId="1593" priority="90" operator="lessThan">
      <formula>$E$6</formula>
    </cfRule>
  </conditionalFormatting>
  <conditionalFormatting sqref="E6">
    <cfRule type="cellIs" dxfId="1592" priority="89" operator="lessThan">
      <formula>$D$6</formula>
    </cfRule>
  </conditionalFormatting>
  <conditionalFormatting sqref="D7">
    <cfRule type="cellIs" dxfId="1591" priority="88" operator="lessThan">
      <formula>$E$7</formula>
    </cfRule>
  </conditionalFormatting>
  <conditionalFormatting sqref="E7">
    <cfRule type="cellIs" dxfId="1590" priority="87" operator="lessThan">
      <formula>$D$7</formula>
    </cfRule>
  </conditionalFormatting>
  <conditionalFormatting sqref="D8">
    <cfRule type="cellIs" dxfId="1589" priority="86" operator="lessThan">
      <formula>$E$8</formula>
    </cfRule>
  </conditionalFormatting>
  <conditionalFormatting sqref="E8">
    <cfRule type="cellIs" dxfId="1588" priority="85" operator="lessThan">
      <formula>$D$8</formula>
    </cfRule>
  </conditionalFormatting>
  <conditionalFormatting sqref="D9">
    <cfRule type="cellIs" dxfId="1587" priority="84" operator="lessThan">
      <formula>$E$9</formula>
    </cfRule>
  </conditionalFormatting>
  <conditionalFormatting sqref="E9">
    <cfRule type="cellIs" dxfId="1586" priority="83" operator="lessThan">
      <formula>$D$9</formula>
    </cfRule>
  </conditionalFormatting>
  <conditionalFormatting sqref="D10">
    <cfRule type="cellIs" dxfId="1585" priority="82" operator="lessThan">
      <formula>$E$10</formula>
    </cfRule>
  </conditionalFormatting>
  <conditionalFormatting sqref="E10">
    <cfRule type="cellIs" dxfId="1584" priority="81" operator="lessThan">
      <formula>$D$10</formula>
    </cfRule>
  </conditionalFormatting>
  <conditionalFormatting sqref="D11">
    <cfRule type="cellIs" dxfId="1583" priority="80" operator="lessThan">
      <formula>$E$11</formula>
    </cfRule>
  </conditionalFormatting>
  <conditionalFormatting sqref="E11">
    <cfRule type="cellIs" dxfId="1582" priority="79" operator="lessThan">
      <formula>$D$11</formula>
    </cfRule>
  </conditionalFormatting>
  <conditionalFormatting sqref="D12">
    <cfRule type="cellIs" dxfId="1581" priority="78" operator="lessThan">
      <formula>$E$12</formula>
    </cfRule>
  </conditionalFormatting>
  <conditionalFormatting sqref="E12">
    <cfRule type="cellIs" dxfId="1580" priority="77" operator="lessThan">
      <formula>$D$12</formula>
    </cfRule>
  </conditionalFormatting>
  <conditionalFormatting sqref="D13">
    <cfRule type="cellIs" dxfId="1579" priority="76" operator="lessThan">
      <formula>$E$13</formula>
    </cfRule>
  </conditionalFormatting>
  <conditionalFormatting sqref="E13">
    <cfRule type="cellIs" dxfId="1578" priority="75" operator="lessThan">
      <formula>$D$13</formula>
    </cfRule>
  </conditionalFormatting>
  <conditionalFormatting sqref="D14">
    <cfRule type="cellIs" dxfId="1577" priority="74" operator="lessThan">
      <formula>$E$14</formula>
    </cfRule>
  </conditionalFormatting>
  <conditionalFormatting sqref="E14">
    <cfRule type="cellIs" dxfId="1576" priority="73" operator="lessThan">
      <formula>$D$14</formula>
    </cfRule>
  </conditionalFormatting>
  <conditionalFormatting sqref="D15">
    <cfRule type="cellIs" dxfId="1575" priority="72" operator="lessThan">
      <formula>$E$15</formula>
    </cfRule>
  </conditionalFormatting>
  <conditionalFormatting sqref="E15">
    <cfRule type="cellIs" dxfId="1574" priority="71" operator="lessThan">
      <formula>$D$15</formula>
    </cfRule>
  </conditionalFormatting>
  <conditionalFormatting sqref="D16">
    <cfRule type="cellIs" dxfId="1573" priority="70" operator="lessThan">
      <formula>$E$16</formula>
    </cfRule>
  </conditionalFormatting>
  <conditionalFormatting sqref="E16">
    <cfRule type="cellIs" dxfId="1572" priority="69" operator="lessThan">
      <formula>$D$16</formula>
    </cfRule>
  </conditionalFormatting>
  <conditionalFormatting sqref="D17">
    <cfRule type="cellIs" dxfId="1571" priority="68" operator="lessThan">
      <formula>$E$17</formula>
    </cfRule>
  </conditionalFormatting>
  <conditionalFormatting sqref="E17">
    <cfRule type="cellIs" dxfId="1570" priority="67" operator="lessThan">
      <formula>$D$17</formula>
    </cfRule>
  </conditionalFormatting>
  <conditionalFormatting sqref="D18">
    <cfRule type="cellIs" dxfId="1569" priority="66" operator="lessThan">
      <formula>$E$18</formula>
    </cfRule>
  </conditionalFormatting>
  <conditionalFormatting sqref="E18">
    <cfRule type="cellIs" dxfId="1568" priority="65" operator="lessThan">
      <formula>$D$18</formula>
    </cfRule>
  </conditionalFormatting>
  <conditionalFormatting sqref="D19">
    <cfRule type="cellIs" dxfId="1567" priority="64" operator="lessThan">
      <formula>$E$19</formula>
    </cfRule>
  </conditionalFormatting>
  <conditionalFormatting sqref="E19">
    <cfRule type="cellIs" dxfId="1566" priority="63" operator="lessThan">
      <formula>$D$19</formula>
    </cfRule>
  </conditionalFormatting>
  <conditionalFormatting sqref="D20">
    <cfRule type="cellIs" dxfId="1565" priority="62" operator="lessThan">
      <formula>$E$20</formula>
    </cfRule>
  </conditionalFormatting>
  <conditionalFormatting sqref="E20">
    <cfRule type="cellIs" dxfId="1564" priority="61" operator="lessThan">
      <formula>$D$20</formula>
    </cfRule>
  </conditionalFormatting>
  <conditionalFormatting sqref="D21">
    <cfRule type="cellIs" dxfId="1563" priority="60" operator="lessThan">
      <formula>$E$21</formula>
    </cfRule>
  </conditionalFormatting>
  <conditionalFormatting sqref="E21">
    <cfRule type="cellIs" dxfId="1562" priority="59" operator="lessThan">
      <formula>$D$21</formula>
    </cfRule>
  </conditionalFormatting>
  <conditionalFormatting sqref="D22">
    <cfRule type="cellIs" dxfId="1561" priority="58" operator="lessThan">
      <formula>$E$22</formula>
    </cfRule>
  </conditionalFormatting>
  <conditionalFormatting sqref="E22">
    <cfRule type="cellIs" dxfId="1560" priority="57" operator="lessThan">
      <formula>$D$22</formula>
    </cfRule>
  </conditionalFormatting>
  <conditionalFormatting sqref="D23">
    <cfRule type="cellIs" dxfId="1559" priority="56" operator="lessThan">
      <formula>$E$23</formula>
    </cfRule>
  </conditionalFormatting>
  <conditionalFormatting sqref="E23">
    <cfRule type="cellIs" dxfId="1558" priority="55" operator="lessThan">
      <formula>$D$23</formula>
    </cfRule>
  </conditionalFormatting>
  <conditionalFormatting sqref="D24">
    <cfRule type="cellIs" dxfId="1557" priority="54" operator="lessThan">
      <formula>$E$24</formula>
    </cfRule>
  </conditionalFormatting>
  <conditionalFormatting sqref="E24">
    <cfRule type="cellIs" dxfId="1556" priority="53" operator="lessThan">
      <formula>$D$24</formula>
    </cfRule>
  </conditionalFormatting>
  <conditionalFormatting sqref="D25">
    <cfRule type="cellIs" dxfId="1555" priority="52" operator="lessThan">
      <formula>$E$25</formula>
    </cfRule>
  </conditionalFormatting>
  <conditionalFormatting sqref="E25">
    <cfRule type="cellIs" dxfId="1554" priority="51" operator="lessThan">
      <formula>$D$25</formula>
    </cfRule>
  </conditionalFormatting>
  <conditionalFormatting sqref="D26">
    <cfRule type="cellIs" dxfId="1553" priority="50" operator="lessThan">
      <formula>$E$26</formula>
    </cfRule>
  </conditionalFormatting>
  <conditionalFormatting sqref="E26">
    <cfRule type="cellIs" dxfId="1552" priority="49" operator="lessThan">
      <formula>$D$26</formula>
    </cfRule>
  </conditionalFormatting>
  <conditionalFormatting sqref="D27">
    <cfRule type="cellIs" dxfId="1551" priority="48" operator="lessThan">
      <formula>$E$27</formula>
    </cfRule>
  </conditionalFormatting>
  <conditionalFormatting sqref="E27">
    <cfRule type="cellIs" dxfId="1550" priority="47" operator="lessThan">
      <formula>$D$27</formula>
    </cfRule>
  </conditionalFormatting>
  <conditionalFormatting sqref="D28">
    <cfRule type="cellIs" dxfId="1549" priority="46" operator="lessThan">
      <formula>$E$28</formula>
    </cfRule>
  </conditionalFormatting>
  <conditionalFormatting sqref="E28">
    <cfRule type="cellIs" dxfId="1548" priority="45" operator="lessThan">
      <formula>$D$28</formula>
    </cfRule>
  </conditionalFormatting>
  <conditionalFormatting sqref="D29">
    <cfRule type="cellIs" dxfId="1547" priority="44" operator="lessThan">
      <formula>$E$29</formula>
    </cfRule>
  </conditionalFormatting>
  <conditionalFormatting sqref="E29">
    <cfRule type="cellIs" dxfId="1546" priority="43" operator="lessThan">
      <formula>$D$29</formula>
    </cfRule>
  </conditionalFormatting>
  <conditionalFormatting sqref="D30">
    <cfRule type="cellIs" dxfId="1545" priority="42" operator="lessThan">
      <formula>$E$30</formula>
    </cfRule>
  </conditionalFormatting>
  <conditionalFormatting sqref="E30">
    <cfRule type="cellIs" dxfId="1544" priority="41" operator="lessThan">
      <formula>$D$30</formula>
    </cfRule>
  </conditionalFormatting>
  <conditionalFormatting sqref="D31">
    <cfRule type="cellIs" dxfId="1543" priority="40" operator="lessThan">
      <formula>$E$31</formula>
    </cfRule>
  </conditionalFormatting>
  <conditionalFormatting sqref="E31">
    <cfRule type="cellIs" dxfId="1542" priority="39" operator="lessThan">
      <formula>$D$31</formula>
    </cfRule>
  </conditionalFormatting>
  <conditionalFormatting sqref="D32">
    <cfRule type="cellIs" dxfId="1541" priority="38" operator="lessThan">
      <formula>$E$32</formula>
    </cfRule>
  </conditionalFormatting>
  <conditionalFormatting sqref="E32">
    <cfRule type="cellIs" dxfId="1540" priority="37" operator="lessThan">
      <formula>$D$32</formula>
    </cfRule>
  </conditionalFormatting>
  <conditionalFormatting sqref="D33">
    <cfRule type="cellIs" dxfId="1539" priority="36" operator="lessThan">
      <formula>$E$33</formula>
    </cfRule>
  </conditionalFormatting>
  <conditionalFormatting sqref="E33">
    <cfRule type="cellIs" dxfId="1538" priority="35" operator="lessThan">
      <formula>$D$33</formula>
    </cfRule>
  </conditionalFormatting>
  <conditionalFormatting sqref="D34">
    <cfRule type="cellIs" dxfId="1537" priority="34" operator="lessThan">
      <formula>$E$34</formula>
    </cfRule>
  </conditionalFormatting>
  <conditionalFormatting sqref="E34">
    <cfRule type="cellIs" dxfId="1536" priority="33" operator="lessThan">
      <formula>$D$34</formula>
    </cfRule>
  </conditionalFormatting>
  <conditionalFormatting sqref="D35">
    <cfRule type="cellIs" dxfId="1535" priority="32" operator="lessThan">
      <formula>$E$35</formula>
    </cfRule>
  </conditionalFormatting>
  <conditionalFormatting sqref="E35">
    <cfRule type="cellIs" dxfId="1534" priority="31" operator="lessThan">
      <formula>$D$35</formula>
    </cfRule>
  </conditionalFormatting>
  <conditionalFormatting sqref="D36">
    <cfRule type="cellIs" dxfId="1533" priority="30" operator="lessThan">
      <formula>$E$36</formula>
    </cfRule>
  </conditionalFormatting>
  <conditionalFormatting sqref="E36">
    <cfRule type="cellIs" dxfId="1532" priority="29" operator="lessThan">
      <formula>$D$36</formula>
    </cfRule>
  </conditionalFormatting>
  <conditionalFormatting sqref="D37">
    <cfRule type="cellIs" dxfId="1531" priority="28" operator="lessThan">
      <formula>$E$37</formula>
    </cfRule>
  </conditionalFormatting>
  <conditionalFormatting sqref="E37">
    <cfRule type="cellIs" dxfId="1530" priority="27" operator="lessThan">
      <formula>$D$37</formula>
    </cfRule>
  </conditionalFormatting>
  <conditionalFormatting sqref="D38">
    <cfRule type="cellIs" dxfId="1529" priority="26" operator="lessThan">
      <formula>$E$38</formula>
    </cfRule>
  </conditionalFormatting>
  <conditionalFormatting sqref="E38">
    <cfRule type="cellIs" dxfId="1528" priority="25" operator="lessThan">
      <formula>$D$38</formula>
    </cfRule>
  </conditionalFormatting>
  <conditionalFormatting sqref="D39">
    <cfRule type="cellIs" dxfId="1527" priority="24" operator="lessThan">
      <formula>$E$39</formula>
    </cfRule>
  </conditionalFormatting>
  <conditionalFormatting sqref="E39">
    <cfRule type="cellIs" dxfId="1526" priority="23" operator="lessThan">
      <formula>$D$39</formula>
    </cfRule>
  </conditionalFormatting>
  <conditionalFormatting sqref="D40">
    <cfRule type="cellIs" dxfId="1525" priority="22" operator="lessThan">
      <formula>$E$40</formula>
    </cfRule>
  </conditionalFormatting>
  <conditionalFormatting sqref="E40">
    <cfRule type="cellIs" dxfId="1524" priority="21" operator="lessThan">
      <formula>$D$40</formula>
    </cfRule>
  </conditionalFormatting>
  <conditionalFormatting sqref="D41">
    <cfRule type="cellIs" dxfId="1523" priority="20" operator="lessThan">
      <formula>$E$41</formula>
    </cfRule>
  </conditionalFormatting>
  <conditionalFormatting sqref="E41">
    <cfRule type="cellIs" dxfId="1522" priority="19" operator="lessThan">
      <formula>$D$41</formula>
    </cfRule>
  </conditionalFormatting>
  <conditionalFormatting sqref="D42">
    <cfRule type="cellIs" dxfId="1521" priority="18" operator="lessThan">
      <formula>$E$42</formula>
    </cfRule>
  </conditionalFormatting>
  <conditionalFormatting sqref="E42">
    <cfRule type="cellIs" dxfId="1520" priority="17" operator="lessThan">
      <formula>$D$42</formula>
    </cfRule>
  </conditionalFormatting>
  <conditionalFormatting sqref="D43">
    <cfRule type="cellIs" dxfId="1519" priority="16" operator="lessThan">
      <formula>$E$43</formula>
    </cfRule>
  </conditionalFormatting>
  <conditionalFormatting sqref="E43">
    <cfRule type="cellIs" dxfId="1518" priority="15" operator="lessThan">
      <formula>$D$43</formula>
    </cfRule>
  </conditionalFormatting>
  <conditionalFormatting sqref="D44">
    <cfRule type="cellIs" dxfId="1517" priority="14" operator="lessThan">
      <formula>$E$44</formula>
    </cfRule>
  </conditionalFormatting>
  <conditionalFormatting sqref="E44">
    <cfRule type="cellIs" dxfId="1516" priority="13" operator="lessThan">
      <formula>$D$44</formula>
    </cfRule>
  </conditionalFormatting>
  <conditionalFormatting sqref="D45">
    <cfRule type="cellIs" dxfId="1515" priority="12" operator="lessThan">
      <formula>$E$45</formula>
    </cfRule>
  </conditionalFormatting>
  <conditionalFormatting sqref="E45">
    <cfRule type="cellIs" dxfId="1514" priority="11" operator="lessThan">
      <formula>$D$45</formula>
    </cfRule>
  </conditionalFormatting>
  <conditionalFormatting sqref="D46">
    <cfRule type="cellIs" dxfId="1513" priority="10" operator="lessThan">
      <formula>$E$46</formula>
    </cfRule>
  </conditionalFormatting>
  <conditionalFormatting sqref="E46">
    <cfRule type="cellIs" dxfId="1512" priority="9" operator="lessThan">
      <formula>$D$46</formula>
    </cfRule>
  </conditionalFormatting>
  <conditionalFormatting sqref="D47">
    <cfRule type="cellIs" dxfId="1511" priority="8" operator="lessThan">
      <formula>$E$47</formula>
    </cfRule>
  </conditionalFormatting>
  <conditionalFormatting sqref="E47">
    <cfRule type="cellIs" dxfId="1510" priority="7" operator="lessThan">
      <formula>$D$47</formula>
    </cfRule>
  </conditionalFormatting>
  <conditionalFormatting sqref="D48">
    <cfRule type="cellIs" dxfId="1509" priority="6" operator="lessThan">
      <formula>$E$48</formula>
    </cfRule>
  </conditionalFormatting>
  <conditionalFormatting sqref="E48">
    <cfRule type="cellIs" dxfId="1508" priority="5" operator="lessThan">
      <formula>$D$48</formula>
    </cfRule>
  </conditionalFormatting>
  <conditionalFormatting sqref="D49">
    <cfRule type="cellIs" dxfId="1507" priority="4" operator="lessThan">
      <formula>$E$49</formula>
    </cfRule>
  </conditionalFormatting>
  <conditionalFormatting sqref="E49">
    <cfRule type="cellIs" dxfId="1506" priority="3" operator="lessThan">
      <formula>$D$49</formula>
    </cfRule>
  </conditionalFormatting>
  <conditionalFormatting sqref="D50">
    <cfRule type="cellIs" dxfId="1505" priority="2" operator="lessThan">
      <formula>$E$50</formula>
    </cfRule>
  </conditionalFormatting>
  <conditionalFormatting sqref="E50">
    <cfRule type="cellIs" dxfId="1504" priority="1" operator="lessThan">
      <formula>$D$50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opLeftCell="A4" workbookViewId="0">
      <selection activeCell="D15" sqref="D15"/>
    </sheetView>
  </sheetViews>
  <sheetFormatPr baseColWidth="10" defaultRowHeight="15" x14ac:dyDescent="0.25"/>
  <sheetData>
    <row r="1" spans="1:18" x14ac:dyDescent="0.25">
      <c r="A1" s="1"/>
      <c r="B1" s="2">
        <f>AVERAGE(B4:B38)</f>
        <v>1.841818181818182</v>
      </c>
      <c r="C1" s="2">
        <f>AVERAGE(C4:C30)</f>
        <v>1.8118181818181818</v>
      </c>
      <c r="D1" s="2">
        <f>AVERAGE(D4:D60)</f>
        <v>2.6809090909090916</v>
      </c>
      <c r="E1" s="2">
        <f>AVERAGE(E4:E60)</f>
        <v>2.7627272727272731</v>
      </c>
      <c r="F1" s="1">
        <f>SUM(F4:F50)</f>
        <v>534.14</v>
      </c>
      <c r="G1" s="1">
        <f>D1-E1</f>
        <v>-8.1818181818181568E-2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26.972015328833038</v>
      </c>
      <c r="H3" s="2">
        <f>L3/M3</f>
        <v>33.19353558985118</v>
      </c>
      <c r="I3" s="4">
        <f t="shared" ref="I3:R3" si="0">SUM(I4:I50)</f>
        <v>28.805687203791472</v>
      </c>
      <c r="J3" s="4">
        <f t="shared" si="0"/>
        <v>8.8756872037914736</v>
      </c>
      <c r="K3" s="4">
        <f t="shared" si="0"/>
        <v>486.05911563981056</v>
      </c>
      <c r="L3" s="4">
        <f t="shared" si="0"/>
        <v>48605.911563981062</v>
      </c>
      <c r="M3" s="4">
        <f t="shared" si="0"/>
        <v>1464.3186000000003</v>
      </c>
      <c r="N3" s="4">
        <f t="shared" si="0"/>
        <v>27.952606635071092</v>
      </c>
      <c r="O3" s="4">
        <f t="shared" si="0"/>
        <v>7.6926066350710931</v>
      </c>
      <c r="P3" s="4">
        <f t="shared" si="0"/>
        <v>352.28650900473951</v>
      </c>
      <c r="Q3" s="4">
        <f t="shared" si="0"/>
        <v>35228.650900473949</v>
      </c>
      <c r="R3" s="4">
        <f t="shared" si="0"/>
        <v>1306.1186</v>
      </c>
    </row>
    <row r="4" spans="1:18" x14ac:dyDescent="0.25">
      <c r="A4" t="s">
        <v>42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10</v>
      </c>
      <c r="B5">
        <v>2.59</v>
      </c>
      <c r="C5">
        <v>2.9</v>
      </c>
      <c r="D5">
        <v>3.99</v>
      </c>
      <c r="E5">
        <v>4.99</v>
      </c>
      <c r="F5">
        <v>165</v>
      </c>
      <c r="G5" s="1">
        <f t="shared" ref="G5:G51" si="5">Q5/R5</f>
        <v>29.874449156065538</v>
      </c>
      <c r="H5" s="1">
        <f t="shared" ref="H5:H51" si="6">L5/M5</f>
        <v>36.670497392890063</v>
      </c>
      <c r="I5">
        <f t="shared" si="1"/>
        <v>4.7298578199052139</v>
      </c>
      <c r="J5">
        <f t="shared" si="2"/>
        <v>1.829857819905214</v>
      </c>
      <c r="K5">
        <f t="shared" si="3"/>
        <v>301.92654028436033</v>
      </c>
      <c r="L5">
        <f t="shared" ref="L5:L51" si="7">K5*100</f>
        <v>30192.654028436034</v>
      </c>
      <c r="M5">
        <f t="shared" si="4"/>
        <v>823.35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196.67843601895748</v>
      </c>
      <c r="Q5">
        <f t="shared" ref="Q5:Q51" si="11">P5*100</f>
        <v>19667.843601895747</v>
      </c>
      <c r="R5">
        <f t="shared" ref="R5:R51" si="12">D5*F5</f>
        <v>658.35</v>
      </c>
    </row>
    <row r="6" spans="1:18" x14ac:dyDescent="0.25">
      <c r="A6" t="s">
        <v>25</v>
      </c>
      <c r="B6">
        <v>2.8</v>
      </c>
      <c r="C6">
        <v>2.65</v>
      </c>
      <c r="D6">
        <v>3.99</v>
      </c>
      <c r="E6">
        <v>3.89</v>
      </c>
      <c r="F6">
        <v>10</v>
      </c>
      <c r="G6" s="1">
        <f t="shared" si="5"/>
        <v>24.611291261328695</v>
      </c>
      <c r="H6" s="1">
        <f t="shared" si="6"/>
        <v>26.663336541624552</v>
      </c>
      <c r="I6">
        <f t="shared" si="1"/>
        <v>3.6872037914691949</v>
      </c>
      <c r="J6">
        <f t="shared" si="2"/>
        <v>1.0372037914691949</v>
      </c>
      <c r="K6">
        <f t="shared" si="3"/>
        <v>10.372037914691949</v>
      </c>
      <c r="L6">
        <f t="shared" si="7"/>
        <v>1037.203791469195</v>
      </c>
      <c r="M6">
        <f t="shared" si="4"/>
        <v>38.9</v>
      </c>
      <c r="N6">
        <f t="shared" si="8"/>
        <v>3.7819905213270149</v>
      </c>
      <c r="O6">
        <f t="shared" si="9"/>
        <v>0.98199052132701503</v>
      </c>
      <c r="P6">
        <f t="shared" si="10"/>
        <v>9.8199052132701503</v>
      </c>
      <c r="Q6">
        <f t="shared" si="11"/>
        <v>981.99052132701502</v>
      </c>
      <c r="R6">
        <f t="shared" si="12"/>
        <v>39.900000000000006</v>
      </c>
    </row>
    <row r="7" spans="1:18" x14ac:dyDescent="0.25">
      <c r="A7" t="s">
        <v>72</v>
      </c>
      <c r="B7">
        <v>1.45</v>
      </c>
      <c r="C7">
        <v>1.4</v>
      </c>
      <c r="D7">
        <v>1.89</v>
      </c>
      <c r="E7">
        <v>1.99</v>
      </c>
      <c r="F7">
        <v>48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23.340284360189585</v>
      </c>
      <c r="L7">
        <f t="shared" si="7"/>
        <v>2334.0284360189585</v>
      </c>
      <c r="M7">
        <f t="shared" si="4"/>
        <v>95.52</v>
      </c>
      <c r="N7">
        <f t="shared" si="8"/>
        <v>1.7914691943127963</v>
      </c>
      <c r="O7">
        <f t="shared" si="9"/>
        <v>0.34146919431279632</v>
      </c>
      <c r="P7">
        <f t="shared" si="10"/>
        <v>16.390521327014223</v>
      </c>
      <c r="Q7">
        <f t="shared" si="11"/>
        <v>1639.0521327014224</v>
      </c>
      <c r="R7">
        <f t="shared" si="12"/>
        <v>90.72</v>
      </c>
    </row>
    <row r="8" spans="1:18" x14ac:dyDescent="0.25">
      <c r="A8" t="s">
        <v>94</v>
      </c>
      <c r="B8">
        <v>1.45</v>
      </c>
      <c r="C8">
        <v>1.4</v>
      </c>
      <c r="D8">
        <v>1.89</v>
      </c>
      <c r="E8">
        <v>1.99</v>
      </c>
      <c r="F8">
        <v>12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5.8350710900473963</v>
      </c>
      <c r="L8">
        <f t="shared" si="7"/>
        <v>583.50710900473962</v>
      </c>
      <c r="M8">
        <f t="shared" si="4"/>
        <v>23.88</v>
      </c>
      <c r="N8">
        <f t="shared" si="8"/>
        <v>1.7914691943127963</v>
      </c>
      <c r="O8">
        <f t="shared" si="9"/>
        <v>0.34146919431279632</v>
      </c>
      <c r="P8">
        <f t="shared" si="10"/>
        <v>4.0976303317535558</v>
      </c>
      <c r="Q8">
        <f t="shared" si="11"/>
        <v>409.76303317535559</v>
      </c>
      <c r="R8">
        <f t="shared" si="12"/>
        <v>22.68</v>
      </c>
    </row>
    <row r="9" spans="1:18" x14ac:dyDescent="0.25">
      <c r="A9" t="s">
        <v>17</v>
      </c>
      <c r="B9">
        <v>2.79</v>
      </c>
      <c r="C9">
        <v>2.6</v>
      </c>
      <c r="D9">
        <v>4.49</v>
      </c>
      <c r="E9">
        <v>4.49</v>
      </c>
      <c r="F9">
        <v>5</v>
      </c>
      <c r="G9" s="1">
        <f t="shared" si="5"/>
        <v>32.648645225303213</v>
      </c>
      <c r="H9" s="1">
        <f t="shared" si="6"/>
        <v>36.880271060492518</v>
      </c>
      <c r="I9">
        <f t="shared" si="1"/>
        <v>4.2559241706161144</v>
      </c>
      <c r="J9">
        <f t="shared" si="2"/>
        <v>1.6559241706161143</v>
      </c>
      <c r="K9">
        <f t="shared" si="3"/>
        <v>8.2796208530805711</v>
      </c>
      <c r="L9">
        <f t="shared" si="7"/>
        <v>827.96208530805711</v>
      </c>
      <c r="M9">
        <f t="shared" si="4"/>
        <v>22.450000000000003</v>
      </c>
      <c r="N9">
        <f t="shared" si="8"/>
        <v>4.2559241706161144</v>
      </c>
      <c r="O9">
        <f t="shared" si="9"/>
        <v>1.4659241706161144</v>
      </c>
      <c r="P9">
        <f t="shared" si="10"/>
        <v>7.3296208530805718</v>
      </c>
      <c r="Q9">
        <f t="shared" si="11"/>
        <v>732.96208530805723</v>
      </c>
      <c r="R9">
        <f t="shared" si="12"/>
        <v>22.450000000000003</v>
      </c>
    </row>
    <row r="10" spans="1:18" x14ac:dyDescent="0.25">
      <c r="A10" t="s">
        <v>45</v>
      </c>
      <c r="B10">
        <v>0.95</v>
      </c>
      <c r="C10">
        <v>0.95</v>
      </c>
      <c r="D10">
        <v>1.19</v>
      </c>
      <c r="E10">
        <v>1.19</v>
      </c>
      <c r="F10">
        <v>72</v>
      </c>
      <c r="G10" s="1">
        <f t="shared" si="5"/>
        <v>14.954797084710677</v>
      </c>
      <c r="H10" s="1">
        <f t="shared" si="6"/>
        <v>14.954797084710677</v>
      </c>
      <c r="I10">
        <f t="shared" si="1"/>
        <v>1.127962085308057</v>
      </c>
      <c r="J10">
        <f t="shared" si="2"/>
        <v>0.17796208530805702</v>
      </c>
      <c r="K10">
        <f t="shared" si="3"/>
        <v>12.813270142180105</v>
      </c>
      <c r="L10">
        <f t="shared" si="7"/>
        <v>1281.3270142180106</v>
      </c>
      <c r="M10">
        <f t="shared" si="4"/>
        <v>85.679999999999993</v>
      </c>
      <c r="N10">
        <f t="shared" si="8"/>
        <v>1.127962085308057</v>
      </c>
      <c r="O10">
        <f t="shared" si="9"/>
        <v>0.17796208530805702</v>
      </c>
      <c r="P10">
        <f t="shared" si="10"/>
        <v>12.813270142180105</v>
      </c>
      <c r="Q10">
        <f t="shared" si="11"/>
        <v>1281.3270142180106</v>
      </c>
      <c r="R10">
        <f t="shared" si="12"/>
        <v>85.679999999999993</v>
      </c>
    </row>
    <row r="11" spans="1:18" x14ac:dyDescent="0.25">
      <c r="A11" t="s">
        <v>52</v>
      </c>
      <c r="B11">
        <v>1.28</v>
      </c>
      <c r="C11">
        <v>1.4</v>
      </c>
      <c r="D11">
        <v>1.99</v>
      </c>
      <c r="E11">
        <v>1.99</v>
      </c>
      <c r="F11">
        <v>48</v>
      </c>
      <c r="G11" s="1">
        <f t="shared" si="5"/>
        <v>30.465121817618908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23.340284360189585</v>
      </c>
      <c r="L11">
        <f t="shared" si="7"/>
        <v>2334.0284360189585</v>
      </c>
      <c r="M11">
        <f t="shared" si="4"/>
        <v>95.52</v>
      </c>
      <c r="N11">
        <f t="shared" si="8"/>
        <v>1.8862559241706163</v>
      </c>
      <c r="O11">
        <f t="shared" si="9"/>
        <v>0.60625592417061624</v>
      </c>
      <c r="P11">
        <f t="shared" si="10"/>
        <v>29.10028436018958</v>
      </c>
      <c r="Q11">
        <f t="shared" si="11"/>
        <v>2910.028436018958</v>
      </c>
      <c r="R11">
        <f t="shared" si="12"/>
        <v>95.52</v>
      </c>
    </row>
    <row r="12" spans="1:18" x14ac:dyDescent="0.25">
      <c r="A12" t="s">
        <v>80</v>
      </c>
      <c r="B12">
        <v>2.79</v>
      </c>
      <c r="C12">
        <v>2.79</v>
      </c>
      <c r="D12">
        <v>3.99</v>
      </c>
      <c r="E12">
        <v>3.99</v>
      </c>
      <c r="F12">
        <v>7.14</v>
      </c>
      <c r="G12" s="1">
        <f t="shared" si="5"/>
        <v>24.86191782774473</v>
      </c>
      <c r="H12" s="1">
        <f t="shared" si="6"/>
        <v>24.86191782774473</v>
      </c>
      <c r="I12">
        <f t="shared" si="1"/>
        <v>3.7819905213270149</v>
      </c>
      <c r="J12">
        <f t="shared" si="2"/>
        <v>0.99199052132701482</v>
      </c>
      <c r="K12">
        <f t="shared" si="3"/>
        <v>7.0828123222748856</v>
      </c>
      <c r="L12">
        <f t="shared" si="7"/>
        <v>708.28123222748854</v>
      </c>
      <c r="M12">
        <f t="shared" si="4"/>
        <v>28.488600000000002</v>
      </c>
      <c r="N12">
        <f t="shared" si="8"/>
        <v>3.7819905213270149</v>
      </c>
      <c r="O12">
        <f t="shared" si="9"/>
        <v>0.99199052132701482</v>
      </c>
      <c r="P12">
        <f t="shared" si="10"/>
        <v>7.0828123222748856</v>
      </c>
      <c r="Q12">
        <f t="shared" si="11"/>
        <v>708.28123222748854</v>
      </c>
      <c r="R12">
        <f t="shared" si="12"/>
        <v>28.488600000000002</v>
      </c>
    </row>
    <row r="13" spans="1:18" x14ac:dyDescent="0.25">
      <c r="A13" t="s">
        <v>27</v>
      </c>
      <c r="B13">
        <v>0.96</v>
      </c>
      <c r="C13">
        <v>0.65</v>
      </c>
      <c r="D13">
        <v>1.39</v>
      </c>
      <c r="E13">
        <v>1.39</v>
      </c>
      <c r="F13">
        <v>88</v>
      </c>
      <c r="G13" s="1">
        <f t="shared" si="5"/>
        <v>25.721981656381065</v>
      </c>
      <c r="H13" s="1">
        <f t="shared" si="6"/>
        <v>48.024139929762356</v>
      </c>
      <c r="I13">
        <f t="shared" si="1"/>
        <v>1.3175355450236967</v>
      </c>
      <c r="J13">
        <f t="shared" si="2"/>
        <v>0.66753554502369672</v>
      </c>
      <c r="K13">
        <f t="shared" si="3"/>
        <v>58.74312796208531</v>
      </c>
      <c r="L13">
        <f t="shared" si="7"/>
        <v>5874.3127962085309</v>
      </c>
      <c r="M13">
        <f t="shared" si="4"/>
        <v>122.32</v>
      </c>
      <c r="N13">
        <f t="shared" si="8"/>
        <v>1.3175355450236967</v>
      </c>
      <c r="O13">
        <f t="shared" si="9"/>
        <v>0.35753554502369678</v>
      </c>
      <c r="P13">
        <f t="shared" si="10"/>
        <v>31.463127962085316</v>
      </c>
      <c r="Q13">
        <f t="shared" si="11"/>
        <v>3146.3127962085318</v>
      </c>
      <c r="R13">
        <f t="shared" si="12"/>
        <v>122.32</v>
      </c>
    </row>
    <row r="14" spans="1:18" x14ac:dyDescent="0.25">
      <c r="A14" t="s">
        <v>95</v>
      </c>
      <c r="B14">
        <v>0.8</v>
      </c>
      <c r="C14">
        <v>0.6</v>
      </c>
      <c r="D14">
        <v>1.19</v>
      </c>
      <c r="E14">
        <v>0.99</v>
      </c>
      <c r="F14">
        <v>59</v>
      </c>
      <c r="G14" s="1">
        <f t="shared" si="5"/>
        <v>27.559839101517387</v>
      </c>
      <c r="H14" s="1">
        <f t="shared" si="6"/>
        <v>34.180669251759312</v>
      </c>
      <c r="I14">
        <f t="shared" si="1"/>
        <v>0.93838862559241709</v>
      </c>
      <c r="J14">
        <f t="shared" si="2"/>
        <v>0.33838862559241711</v>
      </c>
      <c r="K14">
        <f t="shared" si="3"/>
        <v>19.964928909952611</v>
      </c>
      <c r="L14">
        <f t="shared" si="7"/>
        <v>1996.4928909952612</v>
      </c>
      <c r="M14">
        <f t="shared" si="4"/>
        <v>58.41</v>
      </c>
      <c r="N14">
        <f t="shared" si="8"/>
        <v>1.127962085308057</v>
      </c>
      <c r="O14">
        <f t="shared" si="9"/>
        <v>0.32796208530805693</v>
      </c>
      <c r="P14">
        <f t="shared" si="10"/>
        <v>19.349763033175357</v>
      </c>
      <c r="Q14">
        <f t="shared" si="11"/>
        <v>1934.9763033175357</v>
      </c>
      <c r="R14">
        <f t="shared" si="12"/>
        <v>70.209999999999994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503" priority="188" operator="lessThan">
      <formula>$C$4</formula>
    </cfRule>
  </conditionalFormatting>
  <conditionalFormatting sqref="C4">
    <cfRule type="cellIs" dxfId="1502" priority="187" operator="lessThan">
      <formula>$B$4</formula>
    </cfRule>
  </conditionalFormatting>
  <conditionalFormatting sqref="B5">
    <cfRule type="cellIs" dxfId="1501" priority="186" operator="lessThan">
      <formula>$C$5</formula>
    </cfRule>
  </conditionalFormatting>
  <conditionalFormatting sqref="C5">
    <cfRule type="cellIs" dxfId="1500" priority="185" operator="lessThan">
      <formula>$B$5</formula>
    </cfRule>
  </conditionalFormatting>
  <conditionalFormatting sqref="B6">
    <cfRule type="cellIs" dxfId="1499" priority="184" operator="lessThan">
      <formula>$C$6</formula>
    </cfRule>
  </conditionalFormatting>
  <conditionalFormatting sqref="C6">
    <cfRule type="cellIs" dxfId="1498" priority="183" operator="lessThan">
      <formula>$B$6</formula>
    </cfRule>
  </conditionalFormatting>
  <conditionalFormatting sqref="B7">
    <cfRule type="cellIs" dxfId="1497" priority="182" operator="lessThan">
      <formula>$C$7</formula>
    </cfRule>
  </conditionalFormatting>
  <conditionalFormatting sqref="C7">
    <cfRule type="cellIs" dxfId="1496" priority="181" operator="lessThan">
      <formula>$B$7</formula>
    </cfRule>
  </conditionalFormatting>
  <conditionalFormatting sqref="B8">
    <cfRule type="cellIs" dxfId="1495" priority="180" operator="lessThan">
      <formula>$C$8</formula>
    </cfRule>
  </conditionalFormatting>
  <conditionalFormatting sqref="C8">
    <cfRule type="cellIs" dxfId="1494" priority="179" operator="lessThan">
      <formula>$B$8</formula>
    </cfRule>
  </conditionalFormatting>
  <conditionalFormatting sqref="B9">
    <cfRule type="cellIs" dxfId="1493" priority="178" operator="lessThan">
      <formula>$C$9</formula>
    </cfRule>
  </conditionalFormatting>
  <conditionalFormatting sqref="C9">
    <cfRule type="cellIs" dxfId="1492" priority="177" operator="lessThan">
      <formula>$B$9</formula>
    </cfRule>
  </conditionalFormatting>
  <conditionalFormatting sqref="B10">
    <cfRule type="cellIs" dxfId="1491" priority="176" operator="lessThan">
      <formula>$C$10</formula>
    </cfRule>
  </conditionalFormatting>
  <conditionalFormatting sqref="C10">
    <cfRule type="cellIs" dxfId="1490" priority="175" operator="lessThan">
      <formula>$B$10</formula>
    </cfRule>
  </conditionalFormatting>
  <conditionalFormatting sqref="B11">
    <cfRule type="cellIs" dxfId="1489" priority="174" operator="lessThan">
      <formula>$C$11</formula>
    </cfRule>
  </conditionalFormatting>
  <conditionalFormatting sqref="C11">
    <cfRule type="cellIs" dxfId="1488" priority="173" operator="lessThan">
      <formula>$B$11</formula>
    </cfRule>
  </conditionalFormatting>
  <conditionalFormatting sqref="B12">
    <cfRule type="cellIs" dxfId="1487" priority="172" operator="lessThan">
      <formula>$C$12</formula>
    </cfRule>
  </conditionalFormatting>
  <conditionalFormatting sqref="C12">
    <cfRule type="cellIs" dxfId="1486" priority="171" operator="lessThan">
      <formula>$B$12</formula>
    </cfRule>
  </conditionalFormatting>
  <conditionalFormatting sqref="B13">
    <cfRule type="cellIs" dxfId="1485" priority="170" operator="lessThan">
      <formula>$C$13</formula>
    </cfRule>
  </conditionalFormatting>
  <conditionalFormatting sqref="C13">
    <cfRule type="cellIs" dxfId="1484" priority="169" operator="lessThan">
      <formula>$B$13</formula>
    </cfRule>
  </conditionalFormatting>
  <conditionalFormatting sqref="B14">
    <cfRule type="cellIs" dxfId="1483" priority="168" operator="lessThan">
      <formula>$C$14</formula>
    </cfRule>
  </conditionalFormatting>
  <conditionalFormatting sqref="C14">
    <cfRule type="cellIs" dxfId="1482" priority="167" operator="lessThan">
      <formula>$B$14</formula>
    </cfRule>
  </conditionalFormatting>
  <conditionalFormatting sqref="B15">
    <cfRule type="cellIs" dxfId="1481" priority="166" operator="lessThan">
      <formula>$C$15</formula>
    </cfRule>
  </conditionalFormatting>
  <conditionalFormatting sqref="C15">
    <cfRule type="cellIs" dxfId="1480" priority="165" operator="lessThan">
      <formula>$B$15</formula>
    </cfRule>
  </conditionalFormatting>
  <conditionalFormatting sqref="B16">
    <cfRule type="cellIs" dxfId="1479" priority="164" operator="lessThan">
      <formula>$C$16</formula>
    </cfRule>
  </conditionalFormatting>
  <conditionalFormatting sqref="C16">
    <cfRule type="cellIs" dxfId="1478" priority="163" operator="lessThan">
      <formula>$B$16</formula>
    </cfRule>
  </conditionalFormatting>
  <conditionalFormatting sqref="B17">
    <cfRule type="cellIs" dxfId="1477" priority="162" operator="lessThan">
      <formula>$C$17</formula>
    </cfRule>
  </conditionalFormatting>
  <conditionalFormatting sqref="C17">
    <cfRule type="cellIs" dxfId="1476" priority="161" operator="lessThan">
      <formula>$B$17</formula>
    </cfRule>
  </conditionalFormatting>
  <conditionalFormatting sqref="B18">
    <cfRule type="cellIs" dxfId="1475" priority="160" operator="lessThan">
      <formula>$C$18</formula>
    </cfRule>
  </conditionalFormatting>
  <conditionalFormatting sqref="C18">
    <cfRule type="cellIs" dxfId="1474" priority="159" operator="lessThan">
      <formula>$B$18</formula>
    </cfRule>
  </conditionalFormatting>
  <conditionalFormatting sqref="C19">
    <cfRule type="cellIs" dxfId="1473" priority="158" operator="lessThan">
      <formula>$B$19</formula>
    </cfRule>
  </conditionalFormatting>
  <conditionalFormatting sqref="B19">
    <cfRule type="cellIs" dxfId="1472" priority="157" operator="lessThan">
      <formula>$C$19</formula>
    </cfRule>
  </conditionalFormatting>
  <conditionalFormatting sqref="B20">
    <cfRule type="cellIs" dxfId="1471" priority="156" operator="lessThan">
      <formula>$C$20</formula>
    </cfRule>
  </conditionalFormatting>
  <conditionalFormatting sqref="C20">
    <cfRule type="cellIs" dxfId="1470" priority="155" operator="lessThan">
      <formula>$B$20</formula>
    </cfRule>
  </conditionalFormatting>
  <conditionalFormatting sqref="B21">
    <cfRule type="cellIs" dxfId="1469" priority="154" operator="lessThan">
      <formula>$C$21</formula>
    </cfRule>
  </conditionalFormatting>
  <conditionalFormatting sqref="C21">
    <cfRule type="cellIs" dxfId="1468" priority="153" operator="lessThan">
      <formula>$B$21</formula>
    </cfRule>
  </conditionalFormatting>
  <conditionalFormatting sqref="B22">
    <cfRule type="cellIs" dxfId="1467" priority="152" operator="lessThan">
      <formula>$C$22</formula>
    </cfRule>
  </conditionalFormatting>
  <conditionalFormatting sqref="C22">
    <cfRule type="cellIs" dxfId="1466" priority="151" operator="lessThan">
      <formula>$B$22</formula>
    </cfRule>
  </conditionalFormatting>
  <conditionalFormatting sqref="B23">
    <cfRule type="cellIs" dxfId="1465" priority="150" operator="lessThan">
      <formula>$C$23</formula>
    </cfRule>
  </conditionalFormatting>
  <conditionalFormatting sqref="C23">
    <cfRule type="cellIs" dxfId="1464" priority="149" operator="lessThan">
      <formula>$B$23</formula>
    </cfRule>
  </conditionalFormatting>
  <conditionalFormatting sqref="B24">
    <cfRule type="cellIs" dxfId="1463" priority="148" operator="lessThan">
      <formula>$C$24</formula>
    </cfRule>
  </conditionalFormatting>
  <conditionalFormatting sqref="C24">
    <cfRule type="cellIs" dxfId="1462" priority="147" operator="lessThan">
      <formula>$B$24</formula>
    </cfRule>
  </conditionalFormatting>
  <conditionalFormatting sqref="B25">
    <cfRule type="cellIs" dxfId="1461" priority="146" operator="lessThan">
      <formula>$C$25</formula>
    </cfRule>
  </conditionalFormatting>
  <conditionalFormatting sqref="C25">
    <cfRule type="cellIs" dxfId="1460" priority="145" operator="lessThan">
      <formula>$B$25</formula>
    </cfRule>
  </conditionalFormatting>
  <conditionalFormatting sqref="B26">
    <cfRule type="cellIs" dxfId="1459" priority="144" operator="lessThan">
      <formula>$C$26</formula>
    </cfRule>
  </conditionalFormatting>
  <conditionalFormatting sqref="C26">
    <cfRule type="cellIs" dxfId="1458" priority="143" operator="lessThan">
      <formula>$B$26</formula>
    </cfRule>
  </conditionalFormatting>
  <conditionalFormatting sqref="B27">
    <cfRule type="cellIs" dxfId="1457" priority="142" operator="lessThan">
      <formula>$C$27</formula>
    </cfRule>
  </conditionalFormatting>
  <conditionalFormatting sqref="C27">
    <cfRule type="cellIs" dxfId="1456" priority="141" operator="lessThan">
      <formula>$B$27</formula>
    </cfRule>
  </conditionalFormatting>
  <conditionalFormatting sqref="B28">
    <cfRule type="cellIs" dxfId="1455" priority="140" operator="lessThan">
      <formula>$C$28</formula>
    </cfRule>
  </conditionalFormatting>
  <conditionalFormatting sqref="C28">
    <cfRule type="cellIs" dxfId="1454" priority="139" operator="lessThan">
      <formula>$B$28</formula>
    </cfRule>
  </conditionalFormatting>
  <conditionalFormatting sqref="B29">
    <cfRule type="cellIs" dxfId="1453" priority="138" operator="lessThan">
      <formula>$C$29</formula>
    </cfRule>
  </conditionalFormatting>
  <conditionalFormatting sqref="C29">
    <cfRule type="cellIs" dxfId="1452" priority="137" operator="lessThan">
      <formula>$B$29</formula>
    </cfRule>
  </conditionalFormatting>
  <conditionalFormatting sqref="B30">
    <cfRule type="cellIs" dxfId="1451" priority="136" operator="lessThan">
      <formula>$C$30</formula>
    </cfRule>
  </conditionalFormatting>
  <conditionalFormatting sqref="C30">
    <cfRule type="cellIs" dxfId="1450" priority="135" operator="lessThan">
      <formula>$B$30</formula>
    </cfRule>
  </conditionalFormatting>
  <conditionalFormatting sqref="B31">
    <cfRule type="cellIs" dxfId="1449" priority="134" operator="lessThan">
      <formula>$C$31</formula>
    </cfRule>
  </conditionalFormatting>
  <conditionalFormatting sqref="C31">
    <cfRule type="cellIs" dxfId="1448" priority="133" operator="lessThan">
      <formula>$B$31</formula>
    </cfRule>
  </conditionalFormatting>
  <conditionalFormatting sqref="B32">
    <cfRule type="cellIs" dxfId="1447" priority="132" operator="lessThan">
      <formula>$C$32</formula>
    </cfRule>
  </conditionalFormatting>
  <conditionalFormatting sqref="C32">
    <cfRule type="cellIs" dxfId="1446" priority="131" operator="lessThan">
      <formula>$B$32</formula>
    </cfRule>
  </conditionalFormatting>
  <conditionalFormatting sqref="B33">
    <cfRule type="cellIs" dxfId="1445" priority="130" operator="lessThan">
      <formula>$C$33</formula>
    </cfRule>
  </conditionalFormatting>
  <conditionalFormatting sqref="C33">
    <cfRule type="cellIs" dxfId="1444" priority="129" operator="lessThan">
      <formula>$B$33</formula>
    </cfRule>
  </conditionalFormatting>
  <conditionalFormatting sqref="B34">
    <cfRule type="cellIs" dxfId="1443" priority="128" operator="lessThan">
      <formula>$C$34</formula>
    </cfRule>
  </conditionalFormatting>
  <conditionalFormatting sqref="C34">
    <cfRule type="cellIs" dxfId="1442" priority="127" operator="lessThan">
      <formula>$B$34</formula>
    </cfRule>
  </conditionalFormatting>
  <conditionalFormatting sqref="B35">
    <cfRule type="cellIs" dxfId="1441" priority="126" operator="lessThan">
      <formula>$C$35</formula>
    </cfRule>
  </conditionalFormatting>
  <conditionalFormatting sqref="C35">
    <cfRule type="cellIs" dxfId="1440" priority="125" operator="lessThan">
      <formula>$B$35</formula>
    </cfRule>
  </conditionalFormatting>
  <conditionalFormatting sqref="B36">
    <cfRule type="cellIs" dxfId="1439" priority="124" operator="lessThan">
      <formula>$C$36</formula>
    </cfRule>
  </conditionalFormatting>
  <conditionalFormatting sqref="C36">
    <cfRule type="cellIs" dxfId="1438" priority="123" operator="lessThan">
      <formula>$B$36</formula>
    </cfRule>
  </conditionalFormatting>
  <conditionalFormatting sqref="B37">
    <cfRule type="cellIs" dxfId="1437" priority="122" operator="lessThan">
      <formula>$C$37</formula>
    </cfRule>
  </conditionalFormatting>
  <conditionalFormatting sqref="C37">
    <cfRule type="cellIs" dxfId="1436" priority="121" operator="lessThan">
      <formula>$B$37</formula>
    </cfRule>
  </conditionalFormatting>
  <conditionalFormatting sqref="B38">
    <cfRule type="cellIs" dxfId="1435" priority="120" operator="lessThan">
      <formula>$C$38</formula>
    </cfRule>
  </conditionalFormatting>
  <conditionalFormatting sqref="C38">
    <cfRule type="cellIs" dxfId="1434" priority="119" operator="lessThan">
      <formula>$B$38</formula>
    </cfRule>
  </conditionalFormatting>
  <conditionalFormatting sqref="B39">
    <cfRule type="cellIs" dxfId="1433" priority="118" operator="lessThan">
      <formula>$C$39</formula>
    </cfRule>
  </conditionalFormatting>
  <conditionalFormatting sqref="C39">
    <cfRule type="cellIs" dxfId="1432" priority="117" operator="lessThan">
      <formula>$B$39</formula>
    </cfRule>
  </conditionalFormatting>
  <conditionalFormatting sqref="B40">
    <cfRule type="cellIs" dxfId="1431" priority="116" operator="lessThan">
      <formula>$C$40</formula>
    </cfRule>
  </conditionalFormatting>
  <conditionalFormatting sqref="C40">
    <cfRule type="cellIs" dxfId="1430" priority="115" operator="lessThan">
      <formula>$B$40</formula>
    </cfRule>
  </conditionalFormatting>
  <conditionalFormatting sqref="B41">
    <cfRule type="cellIs" dxfId="1429" priority="114" operator="lessThan">
      <formula>$C$41</formula>
    </cfRule>
  </conditionalFormatting>
  <conditionalFormatting sqref="C41">
    <cfRule type="cellIs" dxfId="1428" priority="113" operator="lessThan">
      <formula>$B$41</formula>
    </cfRule>
  </conditionalFormatting>
  <conditionalFormatting sqref="B42">
    <cfRule type="cellIs" dxfId="1427" priority="112" operator="lessThan">
      <formula>$C$42</formula>
    </cfRule>
  </conditionalFormatting>
  <conditionalFormatting sqref="C42">
    <cfRule type="cellIs" dxfId="1426" priority="111" operator="lessThan">
      <formula>$B$42</formula>
    </cfRule>
  </conditionalFormatting>
  <conditionalFormatting sqref="B43">
    <cfRule type="cellIs" dxfId="1425" priority="110" operator="lessThan">
      <formula>$C$43</formula>
    </cfRule>
  </conditionalFormatting>
  <conditionalFormatting sqref="C43">
    <cfRule type="cellIs" dxfId="1424" priority="109" operator="lessThan">
      <formula>$B$43</formula>
    </cfRule>
  </conditionalFormatting>
  <conditionalFormatting sqref="B44">
    <cfRule type="cellIs" dxfId="1423" priority="108" operator="lessThan">
      <formula>$C$44</formula>
    </cfRule>
  </conditionalFormatting>
  <conditionalFormatting sqref="C44">
    <cfRule type="cellIs" dxfId="1422" priority="107" operator="lessThan">
      <formula>$B$44</formula>
    </cfRule>
  </conditionalFormatting>
  <conditionalFormatting sqref="B45">
    <cfRule type="cellIs" dxfId="1421" priority="106" operator="lessThan">
      <formula>$C$45</formula>
    </cfRule>
  </conditionalFormatting>
  <conditionalFormatting sqref="C45">
    <cfRule type="cellIs" dxfId="1420" priority="105" operator="lessThan">
      <formula>$B$45</formula>
    </cfRule>
  </conditionalFormatting>
  <conditionalFormatting sqref="B46">
    <cfRule type="cellIs" dxfId="1419" priority="104" operator="lessThan">
      <formula>$C$46</formula>
    </cfRule>
  </conditionalFormatting>
  <conditionalFormatting sqref="C46">
    <cfRule type="cellIs" dxfId="1418" priority="103" operator="lessThan">
      <formula>$B$46</formula>
    </cfRule>
  </conditionalFormatting>
  <conditionalFormatting sqref="B47">
    <cfRule type="cellIs" dxfId="1417" priority="102" operator="lessThan">
      <formula>$C$47</formula>
    </cfRule>
  </conditionalFormatting>
  <conditionalFormatting sqref="C47">
    <cfRule type="cellIs" dxfId="1416" priority="101" operator="lessThan">
      <formula>$B$47</formula>
    </cfRule>
  </conditionalFormatting>
  <conditionalFormatting sqref="B48">
    <cfRule type="cellIs" dxfId="1415" priority="100" operator="lessThan">
      <formula>$C$48</formula>
    </cfRule>
  </conditionalFormatting>
  <conditionalFormatting sqref="C48">
    <cfRule type="cellIs" dxfId="1414" priority="99" operator="lessThan">
      <formula>$B$48</formula>
    </cfRule>
  </conditionalFormatting>
  <conditionalFormatting sqref="B49">
    <cfRule type="cellIs" dxfId="1413" priority="98" operator="lessThan">
      <formula>$C$49</formula>
    </cfRule>
  </conditionalFormatting>
  <conditionalFormatting sqref="C49">
    <cfRule type="cellIs" dxfId="1412" priority="97" operator="lessThan">
      <formula>$B$49</formula>
    </cfRule>
  </conditionalFormatting>
  <conditionalFormatting sqref="B50">
    <cfRule type="cellIs" dxfId="1411" priority="96" operator="lessThan">
      <formula>$C$50</formula>
    </cfRule>
  </conditionalFormatting>
  <conditionalFormatting sqref="C50">
    <cfRule type="cellIs" dxfId="1410" priority="95" operator="lessThan">
      <formula>$B$50</formula>
    </cfRule>
  </conditionalFormatting>
  <conditionalFormatting sqref="D4">
    <cfRule type="cellIs" dxfId="1409" priority="94" operator="lessThan">
      <formula>$E$4</formula>
    </cfRule>
  </conditionalFormatting>
  <conditionalFormatting sqref="E4">
    <cfRule type="cellIs" dxfId="1408" priority="93" operator="lessThan">
      <formula>$D$4</formula>
    </cfRule>
  </conditionalFormatting>
  <conditionalFormatting sqref="D5">
    <cfRule type="cellIs" dxfId="1407" priority="92" operator="lessThan">
      <formula>$E$5</formula>
    </cfRule>
  </conditionalFormatting>
  <conditionalFormatting sqref="E5">
    <cfRule type="cellIs" dxfId="1406" priority="91" operator="lessThan">
      <formula>$D$5</formula>
    </cfRule>
  </conditionalFormatting>
  <conditionalFormatting sqref="D6">
    <cfRule type="cellIs" dxfId="1405" priority="90" operator="lessThan">
      <formula>$E$6</formula>
    </cfRule>
  </conditionalFormatting>
  <conditionalFormatting sqref="E6">
    <cfRule type="cellIs" dxfId="1404" priority="89" operator="lessThan">
      <formula>$D$6</formula>
    </cfRule>
  </conditionalFormatting>
  <conditionalFormatting sqref="D7">
    <cfRule type="cellIs" dxfId="1403" priority="88" operator="lessThan">
      <formula>$E$7</formula>
    </cfRule>
  </conditionalFormatting>
  <conditionalFormatting sqref="E7">
    <cfRule type="cellIs" dxfId="1402" priority="87" operator="lessThan">
      <formula>$D$7</formula>
    </cfRule>
  </conditionalFormatting>
  <conditionalFormatting sqref="D8">
    <cfRule type="cellIs" dxfId="1401" priority="86" operator="lessThan">
      <formula>$E$8</formula>
    </cfRule>
  </conditionalFormatting>
  <conditionalFormatting sqref="E8">
    <cfRule type="cellIs" dxfId="1400" priority="85" operator="lessThan">
      <formula>$D$8</formula>
    </cfRule>
  </conditionalFormatting>
  <conditionalFormatting sqref="D9">
    <cfRule type="cellIs" dxfId="1399" priority="84" operator="lessThan">
      <formula>$E$9</formula>
    </cfRule>
  </conditionalFormatting>
  <conditionalFormatting sqref="E9">
    <cfRule type="cellIs" dxfId="1398" priority="83" operator="lessThan">
      <formula>$D$9</formula>
    </cfRule>
  </conditionalFormatting>
  <conditionalFormatting sqref="D10">
    <cfRule type="cellIs" dxfId="1397" priority="82" operator="lessThan">
      <formula>$E$10</formula>
    </cfRule>
  </conditionalFormatting>
  <conditionalFormatting sqref="E10">
    <cfRule type="cellIs" dxfId="1396" priority="81" operator="lessThan">
      <formula>$D$10</formula>
    </cfRule>
  </conditionalFormatting>
  <conditionalFormatting sqref="D11">
    <cfRule type="cellIs" dxfId="1395" priority="80" operator="lessThan">
      <formula>$E$11</formula>
    </cfRule>
  </conditionalFormatting>
  <conditionalFormatting sqref="E11">
    <cfRule type="cellIs" dxfId="1394" priority="79" operator="lessThan">
      <formula>$D$11</formula>
    </cfRule>
  </conditionalFormatting>
  <conditionalFormatting sqref="D12">
    <cfRule type="cellIs" dxfId="1393" priority="78" operator="lessThan">
      <formula>$E$12</formula>
    </cfRule>
  </conditionalFormatting>
  <conditionalFormatting sqref="E12">
    <cfRule type="cellIs" dxfId="1392" priority="77" operator="lessThan">
      <formula>$D$12</formula>
    </cfRule>
  </conditionalFormatting>
  <conditionalFormatting sqref="D13">
    <cfRule type="cellIs" dxfId="1391" priority="76" operator="lessThan">
      <formula>$E$13</formula>
    </cfRule>
  </conditionalFormatting>
  <conditionalFormatting sqref="E13">
    <cfRule type="cellIs" dxfId="1390" priority="75" operator="lessThan">
      <formula>$D$13</formula>
    </cfRule>
  </conditionalFormatting>
  <conditionalFormatting sqref="D14">
    <cfRule type="cellIs" dxfId="1389" priority="74" operator="lessThan">
      <formula>$E$14</formula>
    </cfRule>
  </conditionalFormatting>
  <conditionalFormatting sqref="E14">
    <cfRule type="cellIs" dxfId="1388" priority="73" operator="lessThan">
      <formula>$D$14</formula>
    </cfRule>
  </conditionalFormatting>
  <conditionalFormatting sqref="D15">
    <cfRule type="cellIs" dxfId="1387" priority="72" operator="lessThan">
      <formula>$E$15</formula>
    </cfRule>
  </conditionalFormatting>
  <conditionalFormatting sqref="E15">
    <cfRule type="cellIs" dxfId="1386" priority="71" operator="lessThan">
      <formula>$D$15</formula>
    </cfRule>
  </conditionalFormatting>
  <conditionalFormatting sqref="D16">
    <cfRule type="cellIs" dxfId="1385" priority="70" operator="lessThan">
      <formula>$E$16</formula>
    </cfRule>
  </conditionalFormatting>
  <conditionalFormatting sqref="E16">
    <cfRule type="cellIs" dxfId="1384" priority="69" operator="lessThan">
      <formula>$D$16</formula>
    </cfRule>
  </conditionalFormatting>
  <conditionalFormatting sqref="D17">
    <cfRule type="cellIs" dxfId="1383" priority="68" operator="lessThan">
      <formula>$E$17</formula>
    </cfRule>
  </conditionalFormatting>
  <conditionalFormatting sqref="E17">
    <cfRule type="cellIs" dxfId="1382" priority="67" operator="lessThan">
      <formula>$D$17</formula>
    </cfRule>
  </conditionalFormatting>
  <conditionalFormatting sqref="D18">
    <cfRule type="cellIs" dxfId="1381" priority="66" operator="lessThan">
      <formula>$E$18</formula>
    </cfRule>
  </conditionalFormatting>
  <conditionalFormatting sqref="E18">
    <cfRule type="cellIs" dxfId="1380" priority="65" operator="lessThan">
      <formula>$D$18</formula>
    </cfRule>
  </conditionalFormatting>
  <conditionalFormatting sqref="D19">
    <cfRule type="cellIs" dxfId="1379" priority="64" operator="lessThan">
      <formula>$E$19</formula>
    </cfRule>
  </conditionalFormatting>
  <conditionalFormatting sqref="E19">
    <cfRule type="cellIs" dxfId="1378" priority="63" operator="lessThan">
      <formula>$D$19</formula>
    </cfRule>
  </conditionalFormatting>
  <conditionalFormatting sqref="D20">
    <cfRule type="cellIs" dxfId="1377" priority="62" operator="lessThan">
      <formula>$E$20</formula>
    </cfRule>
  </conditionalFormatting>
  <conditionalFormatting sqref="E20">
    <cfRule type="cellIs" dxfId="1376" priority="61" operator="lessThan">
      <formula>$D$20</formula>
    </cfRule>
  </conditionalFormatting>
  <conditionalFormatting sqref="D21">
    <cfRule type="cellIs" dxfId="1375" priority="60" operator="lessThan">
      <formula>$E$21</formula>
    </cfRule>
  </conditionalFormatting>
  <conditionalFormatting sqref="E21">
    <cfRule type="cellIs" dxfId="1374" priority="59" operator="lessThan">
      <formula>$D$21</formula>
    </cfRule>
  </conditionalFormatting>
  <conditionalFormatting sqref="D22">
    <cfRule type="cellIs" dxfId="1373" priority="58" operator="lessThan">
      <formula>$E$22</formula>
    </cfRule>
  </conditionalFormatting>
  <conditionalFormatting sqref="E22">
    <cfRule type="cellIs" dxfId="1372" priority="57" operator="lessThan">
      <formula>$D$22</formula>
    </cfRule>
  </conditionalFormatting>
  <conditionalFormatting sqref="D23">
    <cfRule type="cellIs" dxfId="1371" priority="56" operator="lessThan">
      <formula>$E$23</formula>
    </cfRule>
  </conditionalFormatting>
  <conditionalFormatting sqref="E23">
    <cfRule type="cellIs" dxfId="1370" priority="55" operator="lessThan">
      <formula>$D$23</formula>
    </cfRule>
  </conditionalFormatting>
  <conditionalFormatting sqref="D24">
    <cfRule type="cellIs" dxfId="1369" priority="54" operator="lessThan">
      <formula>$E$24</formula>
    </cfRule>
  </conditionalFormatting>
  <conditionalFormatting sqref="E24">
    <cfRule type="cellIs" dxfId="1368" priority="53" operator="lessThan">
      <formula>$D$24</formula>
    </cfRule>
  </conditionalFormatting>
  <conditionalFormatting sqref="D25">
    <cfRule type="cellIs" dxfId="1367" priority="52" operator="lessThan">
      <formula>$E$25</formula>
    </cfRule>
  </conditionalFormatting>
  <conditionalFormatting sqref="E25">
    <cfRule type="cellIs" dxfId="1366" priority="51" operator="lessThan">
      <formula>$D$25</formula>
    </cfRule>
  </conditionalFormatting>
  <conditionalFormatting sqref="D26">
    <cfRule type="cellIs" dxfId="1365" priority="50" operator="lessThan">
      <formula>$E$26</formula>
    </cfRule>
  </conditionalFormatting>
  <conditionalFormatting sqref="E26">
    <cfRule type="cellIs" dxfId="1364" priority="49" operator="lessThan">
      <formula>$D$26</formula>
    </cfRule>
  </conditionalFormatting>
  <conditionalFormatting sqref="D27">
    <cfRule type="cellIs" dxfId="1363" priority="48" operator="lessThan">
      <formula>$E$27</formula>
    </cfRule>
  </conditionalFormatting>
  <conditionalFormatting sqref="E27">
    <cfRule type="cellIs" dxfId="1362" priority="47" operator="lessThan">
      <formula>$D$27</formula>
    </cfRule>
  </conditionalFormatting>
  <conditionalFormatting sqref="D28">
    <cfRule type="cellIs" dxfId="1361" priority="46" operator="lessThan">
      <formula>$E$28</formula>
    </cfRule>
  </conditionalFormatting>
  <conditionalFormatting sqref="E28">
    <cfRule type="cellIs" dxfId="1360" priority="45" operator="lessThan">
      <formula>$D$28</formula>
    </cfRule>
  </conditionalFormatting>
  <conditionalFormatting sqref="D29">
    <cfRule type="cellIs" dxfId="1359" priority="44" operator="lessThan">
      <formula>$E$29</formula>
    </cfRule>
  </conditionalFormatting>
  <conditionalFormatting sqref="E29">
    <cfRule type="cellIs" dxfId="1358" priority="43" operator="lessThan">
      <formula>$D$29</formula>
    </cfRule>
  </conditionalFormatting>
  <conditionalFormatting sqref="D30">
    <cfRule type="cellIs" dxfId="1357" priority="42" operator="lessThan">
      <formula>$E$30</formula>
    </cfRule>
  </conditionalFormatting>
  <conditionalFormatting sqref="E30">
    <cfRule type="cellIs" dxfId="1356" priority="41" operator="lessThan">
      <formula>$D$30</formula>
    </cfRule>
  </conditionalFormatting>
  <conditionalFormatting sqref="D31">
    <cfRule type="cellIs" dxfId="1355" priority="40" operator="lessThan">
      <formula>$E$31</formula>
    </cfRule>
  </conditionalFormatting>
  <conditionalFormatting sqref="E31">
    <cfRule type="cellIs" dxfId="1354" priority="39" operator="lessThan">
      <formula>$D$31</formula>
    </cfRule>
  </conditionalFormatting>
  <conditionalFormatting sqref="D32">
    <cfRule type="cellIs" dxfId="1353" priority="38" operator="lessThan">
      <formula>$E$32</formula>
    </cfRule>
  </conditionalFormatting>
  <conditionalFormatting sqref="E32">
    <cfRule type="cellIs" dxfId="1352" priority="37" operator="lessThan">
      <formula>$D$32</formula>
    </cfRule>
  </conditionalFormatting>
  <conditionalFormatting sqref="D33">
    <cfRule type="cellIs" dxfId="1351" priority="36" operator="lessThan">
      <formula>$E$33</formula>
    </cfRule>
  </conditionalFormatting>
  <conditionalFormatting sqref="E33">
    <cfRule type="cellIs" dxfId="1350" priority="35" operator="lessThan">
      <formula>$D$33</formula>
    </cfRule>
  </conditionalFormatting>
  <conditionalFormatting sqref="D34">
    <cfRule type="cellIs" dxfId="1349" priority="34" operator="lessThan">
      <formula>$E$34</formula>
    </cfRule>
  </conditionalFormatting>
  <conditionalFormatting sqref="E34">
    <cfRule type="cellIs" dxfId="1348" priority="33" operator="lessThan">
      <formula>$D$34</formula>
    </cfRule>
  </conditionalFormatting>
  <conditionalFormatting sqref="D35">
    <cfRule type="cellIs" dxfId="1347" priority="32" operator="lessThan">
      <formula>$E$35</formula>
    </cfRule>
  </conditionalFormatting>
  <conditionalFormatting sqref="E35">
    <cfRule type="cellIs" dxfId="1346" priority="31" operator="lessThan">
      <formula>$D$35</formula>
    </cfRule>
  </conditionalFormatting>
  <conditionalFormatting sqref="D36">
    <cfRule type="cellIs" dxfId="1345" priority="30" operator="lessThan">
      <formula>$E$36</formula>
    </cfRule>
  </conditionalFormatting>
  <conditionalFormatting sqref="E36">
    <cfRule type="cellIs" dxfId="1344" priority="29" operator="lessThan">
      <formula>$D$36</formula>
    </cfRule>
  </conditionalFormatting>
  <conditionalFormatting sqref="D37">
    <cfRule type="cellIs" dxfId="1343" priority="28" operator="lessThan">
      <formula>$E$37</formula>
    </cfRule>
  </conditionalFormatting>
  <conditionalFormatting sqref="E37">
    <cfRule type="cellIs" dxfId="1342" priority="27" operator="lessThan">
      <formula>$D$37</formula>
    </cfRule>
  </conditionalFormatting>
  <conditionalFormatting sqref="D38">
    <cfRule type="cellIs" dxfId="1341" priority="26" operator="lessThan">
      <formula>$E$38</formula>
    </cfRule>
  </conditionalFormatting>
  <conditionalFormatting sqref="E38">
    <cfRule type="cellIs" dxfId="1340" priority="25" operator="lessThan">
      <formula>$D$38</formula>
    </cfRule>
  </conditionalFormatting>
  <conditionalFormatting sqref="D39">
    <cfRule type="cellIs" dxfId="1339" priority="24" operator="lessThan">
      <formula>$E$39</formula>
    </cfRule>
  </conditionalFormatting>
  <conditionalFormatting sqref="E39">
    <cfRule type="cellIs" dxfId="1338" priority="23" operator="lessThan">
      <formula>$D$39</formula>
    </cfRule>
  </conditionalFormatting>
  <conditionalFormatting sqref="D40">
    <cfRule type="cellIs" dxfId="1337" priority="22" operator="lessThan">
      <formula>$E$40</formula>
    </cfRule>
  </conditionalFormatting>
  <conditionalFormatting sqref="E40">
    <cfRule type="cellIs" dxfId="1336" priority="21" operator="lessThan">
      <formula>$D$40</formula>
    </cfRule>
  </conditionalFormatting>
  <conditionalFormatting sqref="D41">
    <cfRule type="cellIs" dxfId="1335" priority="20" operator="lessThan">
      <formula>$E$41</formula>
    </cfRule>
  </conditionalFormatting>
  <conditionalFormatting sqref="E41">
    <cfRule type="cellIs" dxfId="1334" priority="19" operator="lessThan">
      <formula>$D$41</formula>
    </cfRule>
  </conditionalFormatting>
  <conditionalFormatting sqref="D42">
    <cfRule type="cellIs" dxfId="1333" priority="18" operator="lessThan">
      <formula>$E$42</formula>
    </cfRule>
  </conditionalFormatting>
  <conditionalFormatting sqref="E42">
    <cfRule type="cellIs" dxfId="1332" priority="17" operator="lessThan">
      <formula>$D$42</formula>
    </cfRule>
  </conditionalFormatting>
  <conditionalFormatting sqref="D43">
    <cfRule type="cellIs" dxfId="1331" priority="16" operator="lessThan">
      <formula>$E$43</formula>
    </cfRule>
  </conditionalFormatting>
  <conditionalFormatting sqref="E43">
    <cfRule type="cellIs" dxfId="1330" priority="15" operator="lessThan">
      <formula>$D$43</formula>
    </cfRule>
  </conditionalFormatting>
  <conditionalFormatting sqref="D44">
    <cfRule type="cellIs" dxfId="1329" priority="14" operator="lessThan">
      <formula>$E$44</formula>
    </cfRule>
  </conditionalFormatting>
  <conditionalFormatting sqref="E44">
    <cfRule type="cellIs" dxfId="1328" priority="13" operator="lessThan">
      <formula>$D$44</formula>
    </cfRule>
  </conditionalFormatting>
  <conditionalFormatting sqref="D45">
    <cfRule type="cellIs" dxfId="1327" priority="12" operator="lessThan">
      <formula>$E$45</formula>
    </cfRule>
  </conditionalFormatting>
  <conditionalFormatting sqref="E45">
    <cfRule type="cellIs" dxfId="1326" priority="11" operator="lessThan">
      <formula>$D$45</formula>
    </cfRule>
  </conditionalFormatting>
  <conditionalFormatting sqref="D46">
    <cfRule type="cellIs" dxfId="1325" priority="10" operator="lessThan">
      <formula>$E$46</formula>
    </cfRule>
  </conditionalFormatting>
  <conditionalFormatting sqref="E46">
    <cfRule type="cellIs" dxfId="1324" priority="9" operator="lessThan">
      <formula>$D$46</formula>
    </cfRule>
  </conditionalFormatting>
  <conditionalFormatting sqref="D47">
    <cfRule type="cellIs" dxfId="1323" priority="8" operator="lessThan">
      <formula>$E$47</formula>
    </cfRule>
  </conditionalFormatting>
  <conditionalFormatting sqref="E47">
    <cfRule type="cellIs" dxfId="1322" priority="7" operator="lessThan">
      <formula>$D$47</formula>
    </cfRule>
  </conditionalFormatting>
  <conditionalFormatting sqref="D48">
    <cfRule type="cellIs" dxfId="1321" priority="6" operator="lessThan">
      <formula>$E$48</formula>
    </cfRule>
  </conditionalFormatting>
  <conditionalFormatting sqref="E48">
    <cfRule type="cellIs" dxfId="1320" priority="5" operator="lessThan">
      <formula>$D$48</formula>
    </cfRule>
  </conditionalFormatting>
  <conditionalFormatting sqref="D49">
    <cfRule type="cellIs" dxfId="1319" priority="4" operator="lessThan">
      <formula>$E$49</formula>
    </cfRule>
  </conditionalFormatting>
  <conditionalFormatting sqref="E49">
    <cfRule type="cellIs" dxfId="1318" priority="3" operator="lessThan">
      <formula>$D$49</formula>
    </cfRule>
  </conditionalFormatting>
  <conditionalFormatting sqref="D50">
    <cfRule type="cellIs" dxfId="1317" priority="2" operator="lessThan">
      <formula>$E$50</formula>
    </cfRule>
  </conditionalFormatting>
  <conditionalFormatting sqref="E50">
    <cfRule type="cellIs" dxfId="1316" priority="1" operator="lessThan">
      <formula>$D$50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4" sqref="E14"/>
    </sheetView>
  </sheetViews>
  <sheetFormatPr baseColWidth="10" defaultRowHeight="15" x14ac:dyDescent="0.25"/>
  <sheetData>
    <row r="1" spans="1:18" x14ac:dyDescent="0.25">
      <c r="A1" s="1"/>
      <c r="B1" s="2">
        <f>AVERAGE(B4:B38)</f>
        <v>1.8881818181818182</v>
      </c>
      <c r="C1" s="2">
        <f>AVERAGE(C4:C30)</f>
        <v>1.8054545454545454</v>
      </c>
      <c r="D1" s="2">
        <f>AVERAGE(D4:D60)</f>
        <v>2.7990909090909093</v>
      </c>
      <c r="E1" s="2">
        <f>AVERAGE(E4:E60)</f>
        <v>2.8899999999999992</v>
      </c>
      <c r="F1" s="1">
        <f>SUM(F4:F50)</f>
        <v>500.53</v>
      </c>
      <c r="G1" s="1">
        <f>D1-E1</f>
        <v>-9.090909090908994E-2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25.437804062289782</v>
      </c>
      <c r="H3" s="2">
        <f>L3/M3</f>
        <v>35.691517125005461</v>
      </c>
      <c r="I3" s="4">
        <f t="shared" ref="I3:R3" si="0">SUM(I4:I50)</f>
        <v>30.132701421800949</v>
      </c>
      <c r="J3" s="4">
        <f t="shared" si="0"/>
        <v>10.272701421800951</v>
      </c>
      <c r="K3" s="4">
        <f t="shared" si="0"/>
        <v>316.76746113744076</v>
      </c>
      <c r="L3" s="4">
        <f t="shared" si="0"/>
        <v>31676.746113744084</v>
      </c>
      <c r="M3" s="4">
        <f t="shared" si="0"/>
        <v>887.51469999999995</v>
      </c>
      <c r="N3" s="4">
        <f t="shared" si="0"/>
        <v>29.18483412322275</v>
      </c>
      <c r="O3" s="4">
        <f t="shared" si="0"/>
        <v>8.4148341232227519</v>
      </c>
      <c r="P3" s="4">
        <f t="shared" si="0"/>
        <v>252.06693981042662</v>
      </c>
      <c r="Q3" s="4">
        <f t="shared" si="0"/>
        <v>25206.693981042659</v>
      </c>
      <c r="R3" s="4">
        <f t="shared" si="0"/>
        <v>990.91469999999993</v>
      </c>
    </row>
    <row r="4" spans="1:18" x14ac:dyDescent="0.25">
      <c r="A4" t="s">
        <v>42</v>
      </c>
      <c r="B4">
        <v>2.4</v>
      </c>
      <c r="C4">
        <v>2.59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20.574695473865756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14.3611374407583</v>
      </c>
      <c r="L4">
        <f>K4*100</f>
        <v>1436.11374407583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96</v>
      </c>
      <c r="B5">
        <v>2.99</v>
      </c>
      <c r="C5">
        <v>3.19</v>
      </c>
      <c r="D5">
        <v>4.99</v>
      </c>
      <c r="E5">
        <v>6.49</v>
      </c>
      <c r="F5">
        <v>10</v>
      </c>
      <c r="G5" s="1">
        <f t="shared" ref="G5:G51" si="5">Q5/R5</f>
        <v>34.866890178461198</v>
      </c>
      <c r="H5" s="1">
        <f t="shared" ref="H5:H51" si="6">L5/M5</f>
        <v>45.634187484938558</v>
      </c>
      <c r="I5">
        <f t="shared" si="1"/>
        <v>6.1516587677725125</v>
      </c>
      <c r="J5">
        <f t="shared" si="2"/>
        <v>2.9616587677725126</v>
      </c>
      <c r="K5">
        <f t="shared" si="3"/>
        <v>29.616587677725125</v>
      </c>
      <c r="L5">
        <f t="shared" ref="L5:L51" si="7">K5*100</f>
        <v>2961.6587677725124</v>
      </c>
      <c r="M5">
        <f t="shared" si="4"/>
        <v>64.900000000000006</v>
      </c>
      <c r="N5">
        <f t="shared" ref="N5:N51" si="8">D5/1.055</f>
        <v>4.7298578199052139</v>
      </c>
      <c r="O5">
        <f t="shared" ref="O5:O51" si="9">N5-B5</f>
        <v>1.7398578199052137</v>
      </c>
      <c r="P5">
        <f t="shared" ref="P5:P51" si="10">O5*F5</f>
        <v>17.398578199052139</v>
      </c>
      <c r="Q5">
        <f t="shared" ref="Q5:Q51" si="11">P5*100</f>
        <v>1739.857819905214</v>
      </c>
      <c r="R5">
        <f t="shared" ref="R5:R51" si="12">D5*F5</f>
        <v>49.900000000000006</v>
      </c>
    </row>
    <row r="6" spans="1:18" x14ac:dyDescent="0.25">
      <c r="A6" t="s">
        <v>27</v>
      </c>
      <c r="B6">
        <v>1.37</v>
      </c>
      <c r="C6">
        <v>0.55000000000000004</v>
      </c>
      <c r="D6">
        <v>1.99</v>
      </c>
      <c r="E6">
        <v>1.39</v>
      </c>
      <c r="F6">
        <v>176</v>
      </c>
      <c r="G6" s="1">
        <f t="shared" si="5"/>
        <v>25.942508752292269</v>
      </c>
      <c r="H6" s="1">
        <f t="shared" si="6"/>
        <v>55.218384534078901</v>
      </c>
      <c r="I6">
        <f t="shared" si="1"/>
        <v>1.3175355450236967</v>
      </c>
      <c r="J6">
        <f t="shared" si="2"/>
        <v>0.7675355450236967</v>
      </c>
      <c r="K6">
        <f t="shared" si="3"/>
        <v>135.08625592417062</v>
      </c>
      <c r="L6">
        <f t="shared" si="7"/>
        <v>13508.625592417062</v>
      </c>
      <c r="M6">
        <f t="shared" si="4"/>
        <v>244.64</v>
      </c>
      <c r="N6">
        <f t="shared" si="8"/>
        <v>1.8862559241706163</v>
      </c>
      <c r="O6">
        <f t="shared" si="9"/>
        <v>0.51625592417061617</v>
      </c>
      <c r="P6">
        <f t="shared" si="10"/>
        <v>90.861042654028438</v>
      </c>
      <c r="Q6">
        <f t="shared" si="11"/>
        <v>9086.1042654028442</v>
      </c>
      <c r="R6">
        <f t="shared" si="12"/>
        <v>350.24</v>
      </c>
    </row>
    <row r="7" spans="1:18" x14ac:dyDescent="0.25">
      <c r="A7" t="s">
        <v>48</v>
      </c>
      <c r="B7">
        <v>1.99</v>
      </c>
      <c r="C7">
        <v>1.89</v>
      </c>
      <c r="D7">
        <v>3.49</v>
      </c>
      <c r="E7">
        <v>3.49</v>
      </c>
      <c r="F7">
        <v>2</v>
      </c>
      <c r="G7" s="1">
        <f t="shared" si="5"/>
        <v>37.766672551229647</v>
      </c>
      <c r="H7" s="1">
        <f t="shared" si="6"/>
        <v>40.63200206412364</v>
      </c>
      <c r="I7">
        <f t="shared" si="1"/>
        <v>3.3080568720379149</v>
      </c>
      <c r="J7">
        <f t="shared" si="2"/>
        <v>1.418056872037915</v>
      </c>
      <c r="K7">
        <f t="shared" si="3"/>
        <v>2.8361137440758299</v>
      </c>
      <c r="L7">
        <f t="shared" si="7"/>
        <v>283.61137440758301</v>
      </c>
      <c r="M7">
        <f t="shared" si="4"/>
        <v>6.98</v>
      </c>
      <c r="N7">
        <f t="shared" si="8"/>
        <v>3.3080568720379149</v>
      </c>
      <c r="O7">
        <f t="shared" si="9"/>
        <v>1.3180568720379149</v>
      </c>
      <c r="P7">
        <f t="shared" si="10"/>
        <v>2.6361137440758298</v>
      </c>
      <c r="Q7">
        <f t="shared" si="11"/>
        <v>263.61137440758296</v>
      </c>
      <c r="R7">
        <f t="shared" si="12"/>
        <v>6.98</v>
      </c>
    </row>
    <row r="8" spans="1:18" x14ac:dyDescent="0.25">
      <c r="A8" t="s">
        <v>49</v>
      </c>
      <c r="B8">
        <v>2.8</v>
      </c>
      <c r="C8">
        <v>2.65</v>
      </c>
      <c r="D8">
        <v>3.99</v>
      </c>
      <c r="E8">
        <v>3.99</v>
      </c>
      <c r="F8">
        <v>5</v>
      </c>
      <c r="G8" s="1">
        <f t="shared" si="5"/>
        <v>24.611291261328695</v>
      </c>
      <c r="H8" s="1">
        <f t="shared" si="6"/>
        <v>28.370689757569298</v>
      </c>
      <c r="I8">
        <f t="shared" si="1"/>
        <v>3.7819905213270149</v>
      </c>
      <c r="J8">
        <f t="shared" si="2"/>
        <v>1.1319905213270149</v>
      </c>
      <c r="K8">
        <f t="shared" si="3"/>
        <v>5.6599526066350752</v>
      </c>
      <c r="L8">
        <f t="shared" si="7"/>
        <v>565.99526066350757</v>
      </c>
      <c r="M8">
        <f t="shared" si="4"/>
        <v>19.950000000000003</v>
      </c>
      <c r="N8">
        <f t="shared" si="8"/>
        <v>3.7819905213270149</v>
      </c>
      <c r="O8">
        <f t="shared" si="9"/>
        <v>0.98199052132701503</v>
      </c>
      <c r="P8">
        <f t="shared" si="10"/>
        <v>4.9099526066350752</v>
      </c>
      <c r="Q8">
        <f t="shared" si="11"/>
        <v>490.99526066350751</v>
      </c>
      <c r="R8">
        <f t="shared" si="12"/>
        <v>19.950000000000003</v>
      </c>
    </row>
    <row r="9" spans="1:18" x14ac:dyDescent="0.25">
      <c r="A9" t="s">
        <v>72</v>
      </c>
      <c r="B9">
        <v>1.45</v>
      </c>
      <c r="C9">
        <v>1.4</v>
      </c>
      <c r="D9">
        <v>1.89</v>
      </c>
      <c r="E9">
        <v>1.99</v>
      </c>
      <c r="F9">
        <v>48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23.340284360189585</v>
      </c>
      <c r="L9">
        <f t="shared" si="7"/>
        <v>2334.0284360189585</v>
      </c>
      <c r="M9">
        <f t="shared" si="4"/>
        <v>95.52</v>
      </c>
      <c r="N9">
        <f t="shared" si="8"/>
        <v>1.7914691943127963</v>
      </c>
      <c r="O9">
        <f t="shared" si="9"/>
        <v>0.34146919431279632</v>
      </c>
      <c r="P9">
        <f t="shared" si="10"/>
        <v>16.390521327014223</v>
      </c>
      <c r="Q9">
        <f t="shared" si="11"/>
        <v>1639.0521327014224</v>
      </c>
      <c r="R9">
        <f t="shared" si="12"/>
        <v>90.72</v>
      </c>
    </row>
    <row r="10" spans="1:18" x14ac:dyDescent="0.25">
      <c r="A10" t="s">
        <v>97</v>
      </c>
      <c r="B10">
        <v>1.45</v>
      </c>
      <c r="C10">
        <v>1.4</v>
      </c>
      <c r="D10">
        <v>1.89</v>
      </c>
      <c r="E10">
        <v>1.99</v>
      </c>
      <c r="F10">
        <v>48</v>
      </c>
      <c r="G10" s="1">
        <f t="shared" si="5"/>
        <v>18.067153138243192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23.340284360189585</v>
      </c>
      <c r="L10">
        <f t="shared" si="7"/>
        <v>2334.0284360189585</v>
      </c>
      <c r="M10">
        <f t="shared" si="4"/>
        <v>95.52</v>
      </c>
      <c r="N10">
        <f t="shared" si="8"/>
        <v>1.7914691943127963</v>
      </c>
      <c r="O10">
        <f t="shared" si="9"/>
        <v>0.34146919431279632</v>
      </c>
      <c r="P10">
        <f t="shared" si="10"/>
        <v>16.390521327014223</v>
      </c>
      <c r="Q10">
        <f t="shared" si="11"/>
        <v>1639.0521327014224</v>
      </c>
      <c r="R10">
        <f t="shared" si="12"/>
        <v>90.72</v>
      </c>
    </row>
    <row r="11" spans="1:18" x14ac:dyDescent="0.25">
      <c r="A11" t="s">
        <v>52</v>
      </c>
      <c r="B11">
        <v>1.28</v>
      </c>
      <c r="C11">
        <v>1.4</v>
      </c>
      <c r="D11">
        <v>1.99</v>
      </c>
      <c r="E11">
        <v>1.99</v>
      </c>
      <c r="F11">
        <v>48</v>
      </c>
      <c r="G11" s="1">
        <f t="shared" si="5"/>
        <v>30.465121817618908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23.340284360189585</v>
      </c>
      <c r="L11">
        <f t="shared" si="7"/>
        <v>2334.0284360189585</v>
      </c>
      <c r="M11">
        <f t="shared" si="4"/>
        <v>95.52</v>
      </c>
      <c r="N11">
        <f t="shared" si="8"/>
        <v>1.8862559241706163</v>
      </c>
      <c r="O11">
        <f t="shared" si="9"/>
        <v>0.60625592417061624</v>
      </c>
      <c r="P11">
        <f t="shared" si="10"/>
        <v>29.10028436018958</v>
      </c>
      <c r="Q11">
        <f t="shared" si="11"/>
        <v>2910.028436018958</v>
      </c>
      <c r="R11">
        <f t="shared" si="12"/>
        <v>95.52</v>
      </c>
    </row>
    <row r="12" spans="1:18" x14ac:dyDescent="0.25">
      <c r="A12" t="s">
        <v>67</v>
      </c>
      <c r="B12">
        <v>2.79</v>
      </c>
      <c r="C12">
        <v>2.79</v>
      </c>
      <c r="D12">
        <v>3.99</v>
      </c>
      <c r="E12">
        <v>3.99</v>
      </c>
      <c r="F12">
        <v>13.53</v>
      </c>
      <c r="G12" s="1">
        <f t="shared" si="5"/>
        <v>24.861917827744726</v>
      </c>
      <c r="H12" s="1">
        <f t="shared" si="6"/>
        <v>24.861917827744726</v>
      </c>
      <c r="I12">
        <f t="shared" si="1"/>
        <v>3.7819905213270149</v>
      </c>
      <c r="J12">
        <f t="shared" si="2"/>
        <v>0.99199052132701482</v>
      </c>
      <c r="K12">
        <f t="shared" si="3"/>
        <v>13.421631753554509</v>
      </c>
      <c r="L12">
        <f t="shared" si="7"/>
        <v>1342.1631753554509</v>
      </c>
      <c r="M12">
        <f t="shared" si="4"/>
        <v>53.984700000000004</v>
      </c>
      <c r="N12">
        <f t="shared" si="8"/>
        <v>3.7819905213270149</v>
      </c>
      <c r="O12">
        <f t="shared" si="9"/>
        <v>0.99199052132701482</v>
      </c>
      <c r="P12">
        <f t="shared" si="10"/>
        <v>13.421631753554509</v>
      </c>
      <c r="Q12">
        <f t="shared" si="11"/>
        <v>1342.1631753554509</v>
      </c>
      <c r="R12">
        <f t="shared" si="12"/>
        <v>53.984700000000004</v>
      </c>
    </row>
    <row r="13" spans="1:18" x14ac:dyDescent="0.25">
      <c r="A13" t="s">
        <v>21</v>
      </c>
      <c r="B13">
        <v>1.45</v>
      </c>
      <c r="C13">
        <v>1.4</v>
      </c>
      <c r="D13">
        <v>1.89</v>
      </c>
      <c r="E13">
        <v>1.99</v>
      </c>
      <c r="F13">
        <v>12</v>
      </c>
      <c r="G13" s="1">
        <f t="shared" si="5"/>
        <v>18.067153138243192</v>
      </c>
      <c r="H13" s="1">
        <f t="shared" si="6"/>
        <v>24.434971063850067</v>
      </c>
      <c r="I13">
        <f t="shared" si="1"/>
        <v>1.8862559241706163</v>
      </c>
      <c r="J13">
        <f t="shared" si="2"/>
        <v>0.48625592417061636</v>
      </c>
      <c r="K13">
        <f t="shared" si="3"/>
        <v>5.8350710900473963</v>
      </c>
      <c r="L13">
        <f t="shared" si="7"/>
        <v>583.50710900473962</v>
      </c>
      <c r="M13">
        <f t="shared" si="4"/>
        <v>23.88</v>
      </c>
      <c r="N13">
        <f t="shared" si="8"/>
        <v>1.7914691943127963</v>
      </c>
      <c r="O13">
        <f t="shared" si="9"/>
        <v>0.34146919431279632</v>
      </c>
      <c r="P13">
        <f t="shared" si="10"/>
        <v>4.0976303317535558</v>
      </c>
      <c r="Q13">
        <f t="shared" si="11"/>
        <v>409.76303317535559</v>
      </c>
      <c r="R13">
        <f t="shared" si="12"/>
        <v>22.68</v>
      </c>
    </row>
    <row r="14" spans="1:18" x14ac:dyDescent="0.25">
      <c r="A14" t="s">
        <v>69</v>
      </c>
      <c r="B14">
        <v>0.8</v>
      </c>
      <c r="C14">
        <v>0.6</v>
      </c>
      <c r="D14">
        <v>1.19</v>
      </c>
      <c r="E14">
        <v>0.99</v>
      </c>
      <c r="F14">
        <v>118</v>
      </c>
      <c r="G14" s="1">
        <f t="shared" si="5"/>
        <v>27.559839101517387</v>
      </c>
      <c r="H14" s="1">
        <f t="shared" si="6"/>
        <v>34.180669251759312</v>
      </c>
      <c r="I14">
        <f t="shared" si="1"/>
        <v>0.93838862559241709</v>
      </c>
      <c r="J14">
        <f t="shared" si="2"/>
        <v>0.33838862559241711</v>
      </c>
      <c r="K14">
        <f t="shared" si="3"/>
        <v>39.929857819905223</v>
      </c>
      <c r="L14">
        <f t="shared" si="7"/>
        <v>3992.9857819905224</v>
      </c>
      <c r="M14">
        <f t="shared" si="4"/>
        <v>116.82</v>
      </c>
      <c r="N14">
        <f t="shared" si="8"/>
        <v>1.127962085308057</v>
      </c>
      <c r="O14">
        <f t="shared" si="9"/>
        <v>0.32796208530805693</v>
      </c>
      <c r="P14">
        <f t="shared" si="10"/>
        <v>38.699526066350714</v>
      </c>
      <c r="Q14">
        <f t="shared" si="11"/>
        <v>3869.9526066350713</v>
      </c>
      <c r="R14">
        <f t="shared" si="12"/>
        <v>140.41999999999999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315" priority="188" operator="lessThan">
      <formula>$C$4</formula>
    </cfRule>
  </conditionalFormatting>
  <conditionalFormatting sqref="C4">
    <cfRule type="cellIs" dxfId="1314" priority="187" operator="lessThan">
      <formula>$B$4</formula>
    </cfRule>
  </conditionalFormatting>
  <conditionalFormatting sqref="B5">
    <cfRule type="cellIs" dxfId="1313" priority="186" operator="lessThan">
      <formula>$C$5</formula>
    </cfRule>
  </conditionalFormatting>
  <conditionalFormatting sqref="C5">
    <cfRule type="cellIs" dxfId="1312" priority="185" operator="lessThan">
      <formula>$B$5</formula>
    </cfRule>
  </conditionalFormatting>
  <conditionalFormatting sqref="B6">
    <cfRule type="cellIs" dxfId="1311" priority="184" operator="lessThan">
      <formula>$C$6</formula>
    </cfRule>
  </conditionalFormatting>
  <conditionalFormatting sqref="C6">
    <cfRule type="cellIs" dxfId="1310" priority="183" operator="lessThan">
      <formula>$B$6</formula>
    </cfRule>
  </conditionalFormatting>
  <conditionalFormatting sqref="B7">
    <cfRule type="cellIs" dxfId="1309" priority="182" operator="lessThan">
      <formula>$C$7</formula>
    </cfRule>
  </conditionalFormatting>
  <conditionalFormatting sqref="C7">
    <cfRule type="cellIs" dxfId="1308" priority="181" operator="lessThan">
      <formula>$B$7</formula>
    </cfRule>
  </conditionalFormatting>
  <conditionalFormatting sqref="B8">
    <cfRule type="cellIs" dxfId="1307" priority="180" operator="lessThan">
      <formula>$C$8</formula>
    </cfRule>
  </conditionalFormatting>
  <conditionalFormatting sqref="C8">
    <cfRule type="cellIs" dxfId="1306" priority="179" operator="lessThan">
      <formula>$B$8</formula>
    </cfRule>
  </conditionalFormatting>
  <conditionalFormatting sqref="B9">
    <cfRule type="cellIs" dxfId="1305" priority="178" operator="lessThan">
      <formula>$C$9</formula>
    </cfRule>
  </conditionalFormatting>
  <conditionalFormatting sqref="C9">
    <cfRule type="cellIs" dxfId="1304" priority="177" operator="lessThan">
      <formula>$B$9</formula>
    </cfRule>
  </conditionalFormatting>
  <conditionalFormatting sqref="B10">
    <cfRule type="cellIs" dxfId="1303" priority="176" operator="lessThan">
      <formula>$C$10</formula>
    </cfRule>
  </conditionalFormatting>
  <conditionalFormatting sqref="C10">
    <cfRule type="cellIs" dxfId="1302" priority="175" operator="lessThan">
      <formula>$B$10</formula>
    </cfRule>
  </conditionalFormatting>
  <conditionalFormatting sqref="B11">
    <cfRule type="cellIs" dxfId="1301" priority="174" operator="lessThan">
      <formula>$C$11</formula>
    </cfRule>
  </conditionalFormatting>
  <conditionalFormatting sqref="C11">
    <cfRule type="cellIs" dxfId="1300" priority="173" operator="lessThan">
      <formula>$B$11</formula>
    </cfRule>
  </conditionalFormatting>
  <conditionalFormatting sqref="B12">
    <cfRule type="cellIs" dxfId="1299" priority="172" operator="lessThan">
      <formula>$C$12</formula>
    </cfRule>
  </conditionalFormatting>
  <conditionalFormatting sqref="C12">
    <cfRule type="cellIs" dxfId="1298" priority="171" operator="lessThan">
      <formula>$B$12</formula>
    </cfRule>
  </conditionalFormatting>
  <conditionalFormatting sqref="B13">
    <cfRule type="cellIs" dxfId="1297" priority="170" operator="lessThan">
      <formula>$C$13</formula>
    </cfRule>
  </conditionalFormatting>
  <conditionalFormatting sqref="C13">
    <cfRule type="cellIs" dxfId="1296" priority="169" operator="lessThan">
      <formula>$B$13</formula>
    </cfRule>
  </conditionalFormatting>
  <conditionalFormatting sqref="B14">
    <cfRule type="cellIs" dxfId="1295" priority="168" operator="lessThan">
      <formula>$C$14</formula>
    </cfRule>
  </conditionalFormatting>
  <conditionalFormatting sqref="C14">
    <cfRule type="cellIs" dxfId="1294" priority="167" operator="lessThan">
      <formula>$B$14</formula>
    </cfRule>
  </conditionalFormatting>
  <conditionalFormatting sqref="B15">
    <cfRule type="cellIs" dxfId="1293" priority="166" operator="lessThan">
      <formula>$C$15</formula>
    </cfRule>
  </conditionalFormatting>
  <conditionalFormatting sqref="C15">
    <cfRule type="cellIs" dxfId="1292" priority="165" operator="lessThan">
      <formula>$B$15</formula>
    </cfRule>
  </conditionalFormatting>
  <conditionalFormatting sqref="B16">
    <cfRule type="cellIs" dxfId="1291" priority="164" operator="lessThan">
      <formula>$C$16</formula>
    </cfRule>
  </conditionalFormatting>
  <conditionalFormatting sqref="C16">
    <cfRule type="cellIs" dxfId="1290" priority="163" operator="lessThan">
      <formula>$B$16</formula>
    </cfRule>
  </conditionalFormatting>
  <conditionalFormatting sqref="B17">
    <cfRule type="cellIs" dxfId="1289" priority="162" operator="lessThan">
      <formula>$C$17</formula>
    </cfRule>
  </conditionalFormatting>
  <conditionalFormatting sqref="C17">
    <cfRule type="cellIs" dxfId="1288" priority="161" operator="lessThan">
      <formula>$B$17</formula>
    </cfRule>
  </conditionalFormatting>
  <conditionalFormatting sqref="B18">
    <cfRule type="cellIs" dxfId="1287" priority="160" operator="lessThan">
      <formula>$C$18</formula>
    </cfRule>
  </conditionalFormatting>
  <conditionalFormatting sqref="C18">
    <cfRule type="cellIs" dxfId="1286" priority="159" operator="lessThan">
      <formula>$B$18</formula>
    </cfRule>
  </conditionalFormatting>
  <conditionalFormatting sqref="C19">
    <cfRule type="cellIs" dxfId="1285" priority="158" operator="lessThan">
      <formula>$B$19</formula>
    </cfRule>
  </conditionalFormatting>
  <conditionalFormatting sqref="B19">
    <cfRule type="cellIs" dxfId="1284" priority="157" operator="lessThan">
      <formula>$C$19</formula>
    </cfRule>
  </conditionalFormatting>
  <conditionalFormatting sqref="B20">
    <cfRule type="cellIs" dxfId="1283" priority="156" operator="lessThan">
      <formula>$C$20</formula>
    </cfRule>
  </conditionalFormatting>
  <conditionalFormatting sqref="C20">
    <cfRule type="cellIs" dxfId="1282" priority="155" operator="lessThan">
      <formula>$B$20</formula>
    </cfRule>
  </conditionalFormatting>
  <conditionalFormatting sqref="B21">
    <cfRule type="cellIs" dxfId="1281" priority="154" operator="lessThan">
      <formula>$C$21</formula>
    </cfRule>
  </conditionalFormatting>
  <conditionalFormatting sqref="C21">
    <cfRule type="cellIs" dxfId="1280" priority="153" operator="lessThan">
      <formula>$B$21</formula>
    </cfRule>
  </conditionalFormatting>
  <conditionalFormatting sqref="B22">
    <cfRule type="cellIs" dxfId="1279" priority="152" operator="lessThan">
      <formula>$C$22</formula>
    </cfRule>
  </conditionalFormatting>
  <conditionalFormatting sqref="C22">
    <cfRule type="cellIs" dxfId="1278" priority="151" operator="lessThan">
      <formula>$B$22</formula>
    </cfRule>
  </conditionalFormatting>
  <conditionalFormatting sqref="B23">
    <cfRule type="cellIs" dxfId="1277" priority="150" operator="lessThan">
      <formula>$C$23</formula>
    </cfRule>
  </conditionalFormatting>
  <conditionalFormatting sqref="C23">
    <cfRule type="cellIs" dxfId="1276" priority="149" operator="lessThan">
      <formula>$B$23</formula>
    </cfRule>
  </conditionalFormatting>
  <conditionalFormatting sqref="B24">
    <cfRule type="cellIs" dxfId="1275" priority="148" operator="lessThan">
      <formula>$C$24</formula>
    </cfRule>
  </conditionalFormatting>
  <conditionalFormatting sqref="C24">
    <cfRule type="cellIs" dxfId="1274" priority="147" operator="lessThan">
      <formula>$B$24</formula>
    </cfRule>
  </conditionalFormatting>
  <conditionalFormatting sqref="B25">
    <cfRule type="cellIs" dxfId="1273" priority="146" operator="lessThan">
      <formula>$C$25</formula>
    </cfRule>
  </conditionalFormatting>
  <conditionalFormatting sqref="C25">
    <cfRule type="cellIs" dxfId="1272" priority="145" operator="lessThan">
      <formula>$B$25</formula>
    </cfRule>
  </conditionalFormatting>
  <conditionalFormatting sqref="B26">
    <cfRule type="cellIs" dxfId="1271" priority="144" operator="lessThan">
      <formula>$C$26</formula>
    </cfRule>
  </conditionalFormatting>
  <conditionalFormatting sqref="C26">
    <cfRule type="cellIs" dxfId="1270" priority="143" operator="lessThan">
      <formula>$B$26</formula>
    </cfRule>
  </conditionalFormatting>
  <conditionalFormatting sqref="B27">
    <cfRule type="cellIs" dxfId="1269" priority="142" operator="lessThan">
      <formula>$C$27</formula>
    </cfRule>
  </conditionalFormatting>
  <conditionalFormatting sqref="C27">
    <cfRule type="cellIs" dxfId="1268" priority="141" operator="lessThan">
      <formula>$B$27</formula>
    </cfRule>
  </conditionalFormatting>
  <conditionalFormatting sqref="B28">
    <cfRule type="cellIs" dxfId="1267" priority="140" operator="lessThan">
      <formula>$C$28</formula>
    </cfRule>
  </conditionalFormatting>
  <conditionalFormatting sqref="C28">
    <cfRule type="cellIs" dxfId="1266" priority="139" operator="lessThan">
      <formula>$B$28</formula>
    </cfRule>
  </conditionalFormatting>
  <conditionalFormatting sqref="B29">
    <cfRule type="cellIs" dxfId="1265" priority="138" operator="lessThan">
      <formula>$C$29</formula>
    </cfRule>
  </conditionalFormatting>
  <conditionalFormatting sqref="C29">
    <cfRule type="cellIs" dxfId="1264" priority="137" operator="lessThan">
      <formula>$B$29</formula>
    </cfRule>
  </conditionalFormatting>
  <conditionalFormatting sqref="B30">
    <cfRule type="cellIs" dxfId="1263" priority="136" operator="lessThan">
      <formula>$C$30</formula>
    </cfRule>
  </conditionalFormatting>
  <conditionalFormatting sqref="C30">
    <cfRule type="cellIs" dxfId="1262" priority="135" operator="lessThan">
      <formula>$B$30</formula>
    </cfRule>
  </conditionalFormatting>
  <conditionalFormatting sqref="B31">
    <cfRule type="cellIs" dxfId="1261" priority="134" operator="lessThan">
      <formula>$C$31</formula>
    </cfRule>
  </conditionalFormatting>
  <conditionalFormatting sqref="C31">
    <cfRule type="cellIs" dxfId="1260" priority="133" operator="lessThan">
      <formula>$B$31</formula>
    </cfRule>
  </conditionalFormatting>
  <conditionalFormatting sqref="B32">
    <cfRule type="cellIs" dxfId="1259" priority="132" operator="lessThan">
      <formula>$C$32</formula>
    </cfRule>
  </conditionalFormatting>
  <conditionalFormatting sqref="C32">
    <cfRule type="cellIs" dxfId="1258" priority="131" operator="lessThan">
      <formula>$B$32</formula>
    </cfRule>
  </conditionalFormatting>
  <conditionalFormatting sqref="B33">
    <cfRule type="cellIs" dxfId="1257" priority="130" operator="lessThan">
      <formula>$C$33</formula>
    </cfRule>
  </conditionalFormatting>
  <conditionalFormatting sqref="C33">
    <cfRule type="cellIs" dxfId="1256" priority="129" operator="lessThan">
      <formula>$B$33</formula>
    </cfRule>
  </conditionalFormatting>
  <conditionalFormatting sqref="B34">
    <cfRule type="cellIs" dxfId="1255" priority="128" operator="lessThan">
      <formula>$C$34</formula>
    </cfRule>
  </conditionalFormatting>
  <conditionalFormatting sqref="C34">
    <cfRule type="cellIs" dxfId="1254" priority="127" operator="lessThan">
      <formula>$B$34</formula>
    </cfRule>
  </conditionalFormatting>
  <conditionalFormatting sqref="B35">
    <cfRule type="cellIs" dxfId="1253" priority="126" operator="lessThan">
      <formula>$C$35</formula>
    </cfRule>
  </conditionalFormatting>
  <conditionalFormatting sqref="C35">
    <cfRule type="cellIs" dxfId="1252" priority="125" operator="lessThan">
      <formula>$B$35</formula>
    </cfRule>
  </conditionalFormatting>
  <conditionalFormatting sqref="B36">
    <cfRule type="cellIs" dxfId="1251" priority="124" operator="lessThan">
      <formula>$C$36</formula>
    </cfRule>
  </conditionalFormatting>
  <conditionalFormatting sqref="C36">
    <cfRule type="cellIs" dxfId="1250" priority="123" operator="lessThan">
      <formula>$B$36</formula>
    </cfRule>
  </conditionalFormatting>
  <conditionalFormatting sqref="B37">
    <cfRule type="cellIs" dxfId="1249" priority="122" operator="lessThan">
      <formula>$C$37</formula>
    </cfRule>
  </conditionalFormatting>
  <conditionalFormatting sqref="C37">
    <cfRule type="cellIs" dxfId="1248" priority="121" operator="lessThan">
      <formula>$B$37</formula>
    </cfRule>
  </conditionalFormatting>
  <conditionalFormatting sqref="B38">
    <cfRule type="cellIs" dxfId="1247" priority="120" operator="lessThan">
      <formula>$C$38</formula>
    </cfRule>
  </conditionalFormatting>
  <conditionalFormatting sqref="C38">
    <cfRule type="cellIs" dxfId="1246" priority="119" operator="lessThan">
      <formula>$B$38</formula>
    </cfRule>
  </conditionalFormatting>
  <conditionalFormatting sqref="B39">
    <cfRule type="cellIs" dxfId="1245" priority="118" operator="lessThan">
      <formula>$C$39</formula>
    </cfRule>
  </conditionalFormatting>
  <conditionalFormatting sqref="C39">
    <cfRule type="cellIs" dxfId="1244" priority="117" operator="lessThan">
      <formula>$B$39</formula>
    </cfRule>
  </conditionalFormatting>
  <conditionalFormatting sqref="B40">
    <cfRule type="cellIs" dxfId="1243" priority="116" operator="lessThan">
      <formula>$C$40</formula>
    </cfRule>
  </conditionalFormatting>
  <conditionalFormatting sqref="C40">
    <cfRule type="cellIs" dxfId="1242" priority="115" operator="lessThan">
      <formula>$B$40</formula>
    </cfRule>
  </conditionalFormatting>
  <conditionalFormatting sqref="B41">
    <cfRule type="cellIs" dxfId="1241" priority="114" operator="lessThan">
      <formula>$C$41</formula>
    </cfRule>
  </conditionalFormatting>
  <conditionalFormatting sqref="C41">
    <cfRule type="cellIs" dxfId="1240" priority="113" operator="lessThan">
      <formula>$B$41</formula>
    </cfRule>
  </conditionalFormatting>
  <conditionalFormatting sqref="B42">
    <cfRule type="cellIs" dxfId="1239" priority="112" operator="lessThan">
      <formula>$C$42</formula>
    </cfRule>
  </conditionalFormatting>
  <conditionalFormatting sqref="C42">
    <cfRule type="cellIs" dxfId="1238" priority="111" operator="lessThan">
      <formula>$B$42</formula>
    </cfRule>
  </conditionalFormatting>
  <conditionalFormatting sqref="B43">
    <cfRule type="cellIs" dxfId="1237" priority="110" operator="lessThan">
      <formula>$C$43</formula>
    </cfRule>
  </conditionalFormatting>
  <conditionalFormatting sqref="C43">
    <cfRule type="cellIs" dxfId="1236" priority="109" operator="lessThan">
      <formula>$B$43</formula>
    </cfRule>
  </conditionalFormatting>
  <conditionalFormatting sqref="B44">
    <cfRule type="cellIs" dxfId="1235" priority="108" operator="lessThan">
      <formula>$C$44</formula>
    </cfRule>
  </conditionalFormatting>
  <conditionalFormatting sqref="C44">
    <cfRule type="cellIs" dxfId="1234" priority="107" operator="lessThan">
      <formula>$B$44</formula>
    </cfRule>
  </conditionalFormatting>
  <conditionalFormatting sqref="B45">
    <cfRule type="cellIs" dxfId="1233" priority="106" operator="lessThan">
      <formula>$C$45</formula>
    </cfRule>
  </conditionalFormatting>
  <conditionalFormatting sqref="C45">
    <cfRule type="cellIs" dxfId="1232" priority="105" operator="lessThan">
      <formula>$B$45</formula>
    </cfRule>
  </conditionalFormatting>
  <conditionalFormatting sqref="B46">
    <cfRule type="cellIs" dxfId="1231" priority="104" operator="lessThan">
      <formula>$C$46</formula>
    </cfRule>
  </conditionalFormatting>
  <conditionalFormatting sqref="C46">
    <cfRule type="cellIs" dxfId="1230" priority="103" operator="lessThan">
      <formula>$B$46</formula>
    </cfRule>
  </conditionalFormatting>
  <conditionalFormatting sqref="B47">
    <cfRule type="cellIs" dxfId="1229" priority="102" operator="lessThan">
      <formula>$C$47</formula>
    </cfRule>
  </conditionalFormatting>
  <conditionalFormatting sqref="C47">
    <cfRule type="cellIs" dxfId="1228" priority="101" operator="lessThan">
      <formula>$B$47</formula>
    </cfRule>
  </conditionalFormatting>
  <conditionalFormatting sqref="B48">
    <cfRule type="cellIs" dxfId="1227" priority="100" operator="lessThan">
      <formula>$C$48</formula>
    </cfRule>
  </conditionalFormatting>
  <conditionalFormatting sqref="C48">
    <cfRule type="cellIs" dxfId="1226" priority="99" operator="lessThan">
      <formula>$B$48</formula>
    </cfRule>
  </conditionalFormatting>
  <conditionalFormatting sqref="B49">
    <cfRule type="cellIs" dxfId="1225" priority="98" operator="lessThan">
      <formula>$C$49</formula>
    </cfRule>
  </conditionalFormatting>
  <conditionalFormatting sqref="C49">
    <cfRule type="cellIs" dxfId="1224" priority="97" operator="lessThan">
      <formula>$B$49</formula>
    </cfRule>
  </conditionalFormatting>
  <conditionalFormatting sqref="B50">
    <cfRule type="cellIs" dxfId="1223" priority="96" operator="lessThan">
      <formula>$C$50</formula>
    </cfRule>
  </conditionalFormatting>
  <conditionalFormatting sqref="C50">
    <cfRule type="cellIs" dxfId="1222" priority="95" operator="lessThan">
      <formula>$B$50</formula>
    </cfRule>
  </conditionalFormatting>
  <conditionalFormatting sqref="D4">
    <cfRule type="cellIs" dxfId="1221" priority="94" operator="lessThan">
      <formula>$E$4</formula>
    </cfRule>
  </conditionalFormatting>
  <conditionalFormatting sqref="E4">
    <cfRule type="cellIs" dxfId="1220" priority="93" operator="lessThan">
      <formula>$D$4</formula>
    </cfRule>
  </conditionalFormatting>
  <conditionalFormatting sqref="D5">
    <cfRule type="cellIs" dxfId="1219" priority="92" operator="lessThan">
      <formula>$E$5</formula>
    </cfRule>
  </conditionalFormatting>
  <conditionalFormatting sqref="E5">
    <cfRule type="cellIs" dxfId="1218" priority="91" operator="lessThan">
      <formula>$D$5</formula>
    </cfRule>
  </conditionalFormatting>
  <conditionalFormatting sqref="D6">
    <cfRule type="cellIs" dxfId="1217" priority="90" operator="lessThan">
      <formula>$E$6</formula>
    </cfRule>
  </conditionalFormatting>
  <conditionalFormatting sqref="E6">
    <cfRule type="cellIs" dxfId="1216" priority="89" operator="lessThan">
      <formula>$D$6</formula>
    </cfRule>
  </conditionalFormatting>
  <conditionalFormatting sqref="D7">
    <cfRule type="cellIs" dxfId="1215" priority="88" operator="lessThan">
      <formula>$E$7</formula>
    </cfRule>
  </conditionalFormatting>
  <conditionalFormatting sqref="E7">
    <cfRule type="cellIs" dxfId="1214" priority="87" operator="lessThan">
      <formula>$D$7</formula>
    </cfRule>
  </conditionalFormatting>
  <conditionalFormatting sqref="D8">
    <cfRule type="cellIs" dxfId="1213" priority="86" operator="lessThan">
      <formula>$E$8</formula>
    </cfRule>
  </conditionalFormatting>
  <conditionalFormatting sqref="E8">
    <cfRule type="cellIs" dxfId="1212" priority="85" operator="lessThan">
      <formula>$D$8</formula>
    </cfRule>
  </conditionalFormatting>
  <conditionalFormatting sqref="D9">
    <cfRule type="cellIs" dxfId="1211" priority="84" operator="lessThan">
      <formula>$E$9</formula>
    </cfRule>
  </conditionalFormatting>
  <conditionalFormatting sqref="E9">
    <cfRule type="cellIs" dxfId="1210" priority="83" operator="lessThan">
      <formula>$D$9</formula>
    </cfRule>
  </conditionalFormatting>
  <conditionalFormatting sqref="D10">
    <cfRule type="cellIs" dxfId="1209" priority="82" operator="lessThan">
      <formula>$E$10</formula>
    </cfRule>
  </conditionalFormatting>
  <conditionalFormatting sqref="E10">
    <cfRule type="cellIs" dxfId="1208" priority="81" operator="lessThan">
      <formula>$D$10</formula>
    </cfRule>
  </conditionalFormatting>
  <conditionalFormatting sqref="D11">
    <cfRule type="cellIs" dxfId="1207" priority="80" operator="lessThan">
      <formula>$E$11</formula>
    </cfRule>
  </conditionalFormatting>
  <conditionalFormatting sqref="E11">
    <cfRule type="cellIs" dxfId="1206" priority="79" operator="lessThan">
      <formula>$D$11</formula>
    </cfRule>
  </conditionalFormatting>
  <conditionalFormatting sqref="D12">
    <cfRule type="cellIs" dxfId="1205" priority="78" operator="lessThan">
      <formula>$E$12</formula>
    </cfRule>
  </conditionalFormatting>
  <conditionalFormatting sqref="E12">
    <cfRule type="cellIs" dxfId="1204" priority="77" operator="lessThan">
      <formula>$D$12</formula>
    </cfRule>
  </conditionalFormatting>
  <conditionalFormatting sqref="D13">
    <cfRule type="cellIs" dxfId="1203" priority="76" operator="lessThan">
      <formula>$E$13</formula>
    </cfRule>
  </conditionalFormatting>
  <conditionalFormatting sqref="E13">
    <cfRule type="cellIs" dxfId="1202" priority="75" operator="lessThan">
      <formula>$D$13</formula>
    </cfRule>
  </conditionalFormatting>
  <conditionalFormatting sqref="D14">
    <cfRule type="cellIs" dxfId="1201" priority="74" operator="lessThan">
      <formula>$E$14</formula>
    </cfRule>
  </conditionalFormatting>
  <conditionalFormatting sqref="E14">
    <cfRule type="cellIs" dxfId="1200" priority="73" operator="lessThan">
      <formula>$D$14</formula>
    </cfRule>
  </conditionalFormatting>
  <conditionalFormatting sqref="D15">
    <cfRule type="cellIs" dxfId="1199" priority="72" operator="lessThan">
      <formula>$E$15</formula>
    </cfRule>
  </conditionalFormatting>
  <conditionalFormatting sqref="E15">
    <cfRule type="cellIs" dxfId="1198" priority="71" operator="lessThan">
      <formula>$D$15</formula>
    </cfRule>
  </conditionalFormatting>
  <conditionalFormatting sqref="D16">
    <cfRule type="cellIs" dxfId="1197" priority="70" operator="lessThan">
      <formula>$E$16</formula>
    </cfRule>
  </conditionalFormatting>
  <conditionalFormatting sqref="E16">
    <cfRule type="cellIs" dxfId="1196" priority="69" operator="lessThan">
      <formula>$D$16</formula>
    </cfRule>
  </conditionalFormatting>
  <conditionalFormatting sqref="D17">
    <cfRule type="cellIs" dxfId="1195" priority="68" operator="lessThan">
      <formula>$E$17</formula>
    </cfRule>
  </conditionalFormatting>
  <conditionalFormatting sqref="E17">
    <cfRule type="cellIs" dxfId="1194" priority="67" operator="lessThan">
      <formula>$D$17</formula>
    </cfRule>
  </conditionalFormatting>
  <conditionalFormatting sqref="D18">
    <cfRule type="cellIs" dxfId="1193" priority="66" operator="lessThan">
      <formula>$E$18</formula>
    </cfRule>
  </conditionalFormatting>
  <conditionalFormatting sqref="E18">
    <cfRule type="cellIs" dxfId="1192" priority="65" operator="lessThan">
      <formula>$D$18</formula>
    </cfRule>
  </conditionalFormatting>
  <conditionalFormatting sqref="D19">
    <cfRule type="cellIs" dxfId="1191" priority="64" operator="lessThan">
      <formula>$E$19</formula>
    </cfRule>
  </conditionalFormatting>
  <conditionalFormatting sqref="E19">
    <cfRule type="cellIs" dxfId="1190" priority="63" operator="lessThan">
      <formula>$D$19</formula>
    </cfRule>
  </conditionalFormatting>
  <conditionalFormatting sqref="D20">
    <cfRule type="cellIs" dxfId="1189" priority="62" operator="lessThan">
      <formula>$E$20</formula>
    </cfRule>
  </conditionalFormatting>
  <conditionalFormatting sqref="E20">
    <cfRule type="cellIs" dxfId="1188" priority="61" operator="lessThan">
      <formula>$D$20</formula>
    </cfRule>
  </conditionalFormatting>
  <conditionalFormatting sqref="D21">
    <cfRule type="cellIs" dxfId="1187" priority="60" operator="lessThan">
      <formula>$E$21</formula>
    </cfRule>
  </conditionalFormatting>
  <conditionalFormatting sqref="E21">
    <cfRule type="cellIs" dxfId="1186" priority="59" operator="lessThan">
      <formula>$D$21</formula>
    </cfRule>
  </conditionalFormatting>
  <conditionalFormatting sqref="D22">
    <cfRule type="cellIs" dxfId="1185" priority="58" operator="lessThan">
      <formula>$E$22</formula>
    </cfRule>
  </conditionalFormatting>
  <conditionalFormatting sqref="E22">
    <cfRule type="cellIs" dxfId="1184" priority="57" operator="lessThan">
      <formula>$D$22</formula>
    </cfRule>
  </conditionalFormatting>
  <conditionalFormatting sqref="D23">
    <cfRule type="cellIs" dxfId="1183" priority="56" operator="lessThan">
      <formula>$E$23</formula>
    </cfRule>
  </conditionalFormatting>
  <conditionalFormatting sqref="E23">
    <cfRule type="cellIs" dxfId="1182" priority="55" operator="lessThan">
      <formula>$D$23</formula>
    </cfRule>
  </conditionalFormatting>
  <conditionalFormatting sqref="D24">
    <cfRule type="cellIs" dxfId="1181" priority="54" operator="lessThan">
      <formula>$E$24</formula>
    </cfRule>
  </conditionalFormatting>
  <conditionalFormatting sqref="E24">
    <cfRule type="cellIs" dxfId="1180" priority="53" operator="lessThan">
      <formula>$D$24</formula>
    </cfRule>
  </conditionalFormatting>
  <conditionalFormatting sqref="D25">
    <cfRule type="cellIs" dxfId="1179" priority="52" operator="lessThan">
      <formula>$E$25</formula>
    </cfRule>
  </conditionalFormatting>
  <conditionalFormatting sqref="E25">
    <cfRule type="cellIs" dxfId="1178" priority="51" operator="lessThan">
      <formula>$D$25</formula>
    </cfRule>
  </conditionalFormatting>
  <conditionalFormatting sqref="D26">
    <cfRule type="cellIs" dxfId="1177" priority="50" operator="lessThan">
      <formula>$E$26</formula>
    </cfRule>
  </conditionalFormatting>
  <conditionalFormatting sqref="E26">
    <cfRule type="cellIs" dxfId="1176" priority="49" operator="lessThan">
      <formula>$D$26</formula>
    </cfRule>
  </conditionalFormatting>
  <conditionalFormatting sqref="D27">
    <cfRule type="cellIs" dxfId="1175" priority="48" operator="lessThan">
      <formula>$E$27</formula>
    </cfRule>
  </conditionalFormatting>
  <conditionalFormatting sqref="E27">
    <cfRule type="cellIs" dxfId="1174" priority="47" operator="lessThan">
      <formula>$D$27</formula>
    </cfRule>
  </conditionalFormatting>
  <conditionalFormatting sqref="D28">
    <cfRule type="cellIs" dxfId="1173" priority="46" operator="lessThan">
      <formula>$E$28</formula>
    </cfRule>
  </conditionalFormatting>
  <conditionalFormatting sqref="E28">
    <cfRule type="cellIs" dxfId="1172" priority="45" operator="lessThan">
      <formula>$D$28</formula>
    </cfRule>
  </conditionalFormatting>
  <conditionalFormatting sqref="D29">
    <cfRule type="cellIs" dxfId="1171" priority="44" operator="lessThan">
      <formula>$E$29</formula>
    </cfRule>
  </conditionalFormatting>
  <conditionalFormatting sqref="E29">
    <cfRule type="cellIs" dxfId="1170" priority="43" operator="lessThan">
      <formula>$D$29</formula>
    </cfRule>
  </conditionalFormatting>
  <conditionalFormatting sqref="D30">
    <cfRule type="cellIs" dxfId="1169" priority="42" operator="lessThan">
      <formula>$E$30</formula>
    </cfRule>
  </conditionalFormatting>
  <conditionalFormatting sqref="E30">
    <cfRule type="cellIs" dxfId="1168" priority="41" operator="lessThan">
      <formula>$D$30</formula>
    </cfRule>
  </conditionalFormatting>
  <conditionalFormatting sqref="D31">
    <cfRule type="cellIs" dxfId="1167" priority="40" operator="lessThan">
      <formula>$E$31</formula>
    </cfRule>
  </conditionalFormatting>
  <conditionalFormatting sqref="E31">
    <cfRule type="cellIs" dxfId="1166" priority="39" operator="lessThan">
      <formula>$D$31</formula>
    </cfRule>
  </conditionalFormatting>
  <conditionalFormatting sqref="D32">
    <cfRule type="cellIs" dxfId="1165" priority="38" operator="lessThan">
      <formula>$E$32</formula>
    </cfRule>
  </conditionalFormatting>
  <conditionalFormatting sqref="E32">
    <cfRule type="cellIs" dxfId="1164" priority="37" operator="lessThan">
      <formula>$D$32</formula>
    </cfRule>
  </conditionalFormatting>
  <conditionalFormatting sqref="D33">
    <cfRule type="cellIs" dxfId="1163" priority="36" operator="lessThan">
      <formula>$E$33</formula>
    </cfRule>
  </conditionalFormatting>
  <conditionalFormatting sqref="E33">
    <cfRule type="cellIs" dxfId="1162" priority="35" operator="lessThan">
      <formula>$D$33</formula>
    </cfRule>
  </conditionalFormatting>
  <conditionalFormatting sqref="D34">
    <cfRule type="cellIs" dxfId="1161" priority="34" operator="lessThan">
      <formula>$E$34</formula>
    </cfRule>
  </conditionalFormatting>
  <conditionalFormatting sqref="E34">
    <cfRule type="cellIs" dxfId="1160" priority="33" operator="lessThan">
      <formula>$D$34</formula>
    </cfRule>
  </conditionalFormatting>
  <conditionalFormatting sqref="D35">
    <cfRule type="cellIs" dxfId="1159" priority="32" operator="lessThan">
      <formula>$E$35</formula>
    </cfRule>
  </conditionalFormatting>
  <conditionalFormatting sqref="E35">
    <cfRule type="cellIs" dxfId="1158" priority="31" operator="lessThan">
      <formula>$D$35</formula>
    </cfRule>
  </conditionalFormatting>
  <conditionalFormatting sqref="D36">
    <cfRule type="cellIs" dxfId="1157" priority="30" operator="lessThan">
      <formula>$E$36</formula>
    </cfRule>
  </conditionalFormatting>
  <conditionalFormatting sqref="E36">
    <cfRule type="cellIs" dxfId="1156" priority="29" operator="lessThan">
      <formula>$D$36</formula>
    </cfRule>
  </conditionalFormatting>
  <conditionalFormatting sqref="D37">
    <cfRule type="cellIs" dxfId="1155" priority="28" operator="lessThan">
      <formula>$E$37</formula>
    </cfRule>
  </conditionalFormatting>
  <conditionalFormatting sqref="E37">
    <cfRule type="cellIs" dxfId="1154" priority="27" operator="lessThan">
      <formula>$D$37</formula>
    </cfRule>
  </conditionalFormatting>
  <conditionalFormatting sqref="D38">
    <cfRule type="cellIs" dxfId="1153" priority="26" operator="lessThan">
      <formula>$E$38</formula>
    </cfRule>
  </conditionalFormatting>
  <conditionalFormatting sqref="E38">
    <cfRule type="cellIs" dxfId="1152" priority="25" operator="lessThan">
      <formula>$D$38</formula>
    </cfRule>
  </conditionalFormatting>
  <conditionalFormatting sqref="D39">
    <cfRule type="cellIs" dxfId="1151" priority="24" operator="lessThan">
      <formula>$E$39</formula>
    </cfRule>
  </conditionalFormatting>
  <conditionalFormatting sqref="E39">
    <cfRule type="cellIs" dxfId="1150" priority="23" operator="lessThan">
      <formula>$D$39</formula>
    </cfRule>
  </conditionalFormatting>
  <conditionalFormatting sqref="D40">
    <cfRule type="cellIs" dxfId="1149" priority="22" operator="lessThan">
      <formula>$E$40</formula>
    </cfRule>
  </conditionalFormatting>
  <conditionalFormatting sqref="E40">
    <cfRule type="cellIs" dxfId="1148" priority="21" operator="lessThan">
      <formula>$D$40</formula>
    </cfRule>
  </conditionalFormatting>
  <conditionalFormatting sqref="D41">
    <cfRule type="cellIs" dxfId="1147" priority="20" operator="lessThan">
      <formula>$E$41</formula>
    </cfRule>
  </conditionalFormatting>
  <conditionalFormatting sqref="E41">
    <cfRule type="cellIs" dxfId="1146" priority="19" operator="lessThan">
      <formula>$D$41</formula>
    </cfRule>
  </conditionalFormatting>
  <conditionalFormatting sqref="D42">
    <cfRule type="cellIs" dxfId="1145" priority="18" operator="lessThan">
      <formula>$E$42</formula>
    </cfRule>
  </conditionalFormatting>
  <conditionalFormatting sqref="E42">
    <cfRule type="cellIs" dxfId="1144" priority="17" operator="lessThan">
      <formula>$D$42</formula>
    </cfRule>
  </conditionalFormatting>
  <conditionalFormatting sqref="D43">
    <cfRule type="cellIs" dxfId="1143" priority="16" operator="lessThan">
      <formula>$E$43</formula>
    </cfRule>
  </conditionalFormatting>
  <conditionalFormatting sqref="E43">
    <cfRule type="cellIs" dxfId="1142" priority="15" operator="lessThan">
      <formula>$D$43</formula>
    </cfRule>
  </conditionalFormatting>
  <conditionalFormatting sqref="D44">
    <cfRule type="cellIs" dxfId="1141" priority="14" operator="lessThan">
      <formula>$E$44</formula>
    </cfRule>
  </conditionalFormatting>
  <conditionalFormatting sqref="E44">
    <cfRule type="cellIs" dxfId="1140" priority="13" operator="lessThan">
      <formula>$D$44</formula>
    </cfRule>
  </conditionalFormatting>
  <conditionalFormatting sqref="D45">
    <cfRule type="cellIs" dxfId="1139" priority="12" operator="lessThan">
      <formula>$E$45</formula>
    </cfRule>
  </conditionalFormatting>
  <conditionalFormatting sqref="E45">
    <cfRule type="cellIs" dxfId="1138" priority="11" operator="lessThan">
      <formula>$D$45</formula>
    </cfRule>
  </conditionalFormatting>
  <conditionalFormatting sqref="D46">
    <cfRule type="cellIs" dxfId="1137" priority="10" operator="lessThan">
      <formula>$E$46</formula>
    </cfRule>
  </conditionalFormatting>
  <conditionalFormatting sqref="E46">
    <cfRule type="cellIs" dxfId="1136" priority="9" operator="lessThan">
      <formula>$D$46</formula>
    </cfRule>
  </conditionalFormatting>
  <conditionalFormatting sqref="D47">
    <cfRule type="cellIs" dxfId="1135" priority="8" operator="lessThan">
      <formula>$E$47</formula>
    </cfRule>
  </conditionalFormatting>
  <conditionalFormatting sqref="E47">
    <cfRule type="cellIs" dxfId="1134" priority="7" operator="lessThan">
      <formula>$D$47</formula>
    </cfRule>
  </conditionalFormatting>
  <conditionalFormatting sqref="D48">
    <cfRule type="cellIs" dxfId="1133" priority="6" operator="lessThan">
      <formula>$E$48</formula>
    </cfRule>
  </conditionalFormatting>
  <conditionalFormatting sqref="E48">
    <cfRule type="cellIs" dxfId="1132" priority="5" operator="lessThan">
      <formula>$D$48</formula>
    </cfRule>
  </conditionalFormatting>
  <conditionalFormatting sqref="D49">
    <cfRule type="cellIs" dxfId="1131" priority="4" operator="lessThan">
      <formula>$E$49</formula>
    </cfRule>
  </conditionalFormatting>
  <conditionalFormatting sqref="E49">
    <cfRule type="cellIs" dxfId="1130" priority="3" operator="lessThan">
      <formula>$D$49</formula>
    </cfRule>
  </conditionalFormatting>
  <conditionalFormatting sqref="D50">
    <cfRule type="cellIs" dxfId="1129" priority="2" operator="lessThan">
      <formula>$E$50</formula>
    </cfRule>
  </conditionalFormatting>
  <conditionalFormatting sqref="E50">
    <cfRule type="cellIs" dxfId="1128" priority="1" operator="lessThan">
      <formula>$D$50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3" sqref="E13"/>
    </sheetView>
  </sheetViews>
  <sheetFormatPr baseColWidth="10" defaultRowHeight="15" x14ac:dyDescent="0.25"/>
  <sheetData>
    <row r="1" spans="1:18" x14ac:dyDescent="0.25">
      <c r="A1" s="1"/>
      <c r="B1" s="2">
        <f>AVERAGE(B4:B38)</f>
        <v>1.8836363636363636</v>
      </c>
      <c r="C1" s="2">
        <f>AVERAGE(C4:C30)</f>
        <v>1.6518181818181821</v>
      </c>
      <c r="D1" s="2">
        <f>AVERAGE(D4:D60)</f>
        <v>2.7990909090909097</v>
      </c>
      <c r="E1" s="2">
        <f>AVERAGE(E4:E60)</f>
        <v>2.8445454545454543</v>
      </c>
      <c r="F1" s="1">
        <f>SUM(F4:F50)</f>
        <v>419.20600000000002</v>
      </c>
      <c r="G1" s="1">
        <f>D1-E1</f>
        <v>-4.5454545454544526E-2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25.647257523382429</v>
      </c>
      <c r="H3" s="2">
        <f>L3/M3</f>
        <v>37.15676414509641</v>
      </c>
      <c r="I3" s="4">
        <f t="shared" ref="I3:R3" si="0">SUM(I4:I50)</f>
        <v>29.658767772511847</v>
      </c>
      <c r="J3" s="4">
        <f t="shared" si="0"/>
        <v>11.488767772511851</v>
      </c>
      <c r="K3" s="4">
        <f t="shared" si="0"/>
        <v>300.85606758293846</v>
      </c>
      <c r="L3" s="4">
        <f t="shared" si="0"/>
        <v>30085.606758293845</v>
      </c>
      <c r="M3" s="4">
        <f t="shared" si="0"/>
        <v>809.69394</v>
      </c>
      <c r="N3" s="4">
        <f t="shared" si="0"/>
        <v>29.18483412322275</v>
      </c>
      <c r="O3" s="4">
        <f t="shared" si="0"/>
        <v>8.4648341232227509</v>
      </c>
      <c r="P3" s="4">
        <f t="shared" si="0"/>
        <v>232.82424957345981</v>
      </c>
      <c r="Q3" s="4">
        <f t="shared" si="0"/>
        <v>23282.424957345978</v>
      </c>
      <c r="R3" s="4">
        <f t="shared" si="0"/>
        <v>907.79394000000002</v>
      </c>
    </row>
    <row r="4" spans="1:18" x14ac:dyDescent="0.25">
      <c r="A4" t="s">
        <v>44</v>
      </c>
      <c r="B4">
        <v>2.39</v>
      </c>
      <c r="C4">
        <v>1.39</v>
      </c>
      <c r="D4">
        <v>3.99</v>
      </c>
      <c r="E4">
        <v>4.99</v>
      </c>
      <c r="F4">
        <v>10</v>
      </c>
      <c r="G4" s="1">
        <f>Q4/R4</f>
        <v>34.886980484386335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33.398578199052139</v>
      </c>
      <c r="L4">
        <f>K4*100</f>
        <v>3339.857819905214</v>
      </c>
      <c r="M4">
        <f t="shared" ref="M4:M51" si="4">E4*F4</f>
        <v>49.900000000000006</v>
      </c>
      <c r="N4">
        <f>D4/1.055</f>
        <v>3.7819905213270149</v>
      </c>
      <c r="O4">
        <f>N4-B4</f>
        <v>1.3919905213270147</v>
      </c>
      <c r="P4">
        <f>O4*F4</f>
        <v>13.919905213270148</v>
      </c>
      <c r="Q4">
        <f>P4*100</f>
        <v>1391.9905213270149</v>
      </c>
      <c r="R4">
        <f>D4*F4</f>
        <v>39.900000000000006</v>
      </c>
    </row>
    <row r="5" spans="1:18" x14ac:dyDescent="0.25">
      <c r="A5" t="s">
        <v>17</v>
      </c>
      <c r="B5">
        <v>2.79</v>
      </c>
      <c r="C5">
        <v>2.6</v>
      </c>
      <c r="D5">
        <v>4.49</v>
      </c>
      <c r="E5">
        <v>4.49</v>
      </c>
      <c r="F5">
        <v>10</v>
      </c>
      <c r="G5" s="1">
        <f t="shared" ref="G5:G51" si="5">Q5/R5</f>
        <v>32.648645225303213</v>
      </c>
      <c r="H5" s="1">
        <f t="shared" ref="H5:H51" si="6">L5/M5</f>
        <v>36.880271060492518</v>
      </c>
      <c r="I5">
        <f t="shared" si="1"/>
        <v>4.2559241706161144</v>
      </c>
      <c r="J5">
        <f t="shared" si="2"/>
        <v>1.6559241706161143</v>
      </c>
      <c r="K5">
        <f t="shared" si="3"/>
        <v>16.559241706161142</v>
      </c>
      <c r="L5">
        <f t="shared" ref="L5:L51" si="7">K5*100</f>
        <v>1655.9241706161142</v>
      </c>
      <c r="M5">
        <f t="shared" si="4"/>
        <v>44.900000000000006</v>
      </c>
      <c r="N5">
        <f t="shared" ref="N5:N51" si="8">D5/1.055</f>
        <v>4.2559241706161144</v>
      </c>
      <c r="O5">
        <f t="shared" ref="O5:O51" si="9">N5-B5</f>
        <v>1.4659241706161144</v>
      </c>
      <c r="P5">
        <f t="shared" ref="P5:P51" si="10">O5*F5</f>
        <v>14.659241706161144</v>
      </c>
      <c r="Q5">
        <f t="shared" ref="Q5:Q51" si="11">P5*100</f>
        <v>1465.9241706161145</v>
      </c>
      <c r="R5">
        <f t="shared" ref="R5:R51" si="12">D5*F5</f>
        <v>44.900000000000006</v>
      </c>
    </row>
    <row r="6" spans="1:18" x14ac:dyDescent="0.25">
      <c r="A6" t="s">
        <v>48</v>
      </c>
      <c r="B6">
        <v>1.99</v>
      </c>
      <c r="C6">
        <v>1.89</v>
      </c>
      <c r="D6">
        <v>3.49</v>
      </c>
      <c r="E6">
        <v>3.49</v>
      </c>
      <c r="F6">
        <v>20.675999999999998</v>
      </c>
      <c r="G6" s="1">
        <f t="shared" si="5"/>
        <v>37.766672551229654</v>
      </c>
      <c r="H6" s="1">
        <f t="shared" si="6"/>
        <v>40.63200206412364</v>
      </c>
      <c r="I6">
        <f t="shared" si="1"/>
        <v>3.3080568720379149</v>
      </c>
      <c r="J6">
        <f t="shared" si="2"/>
        <v>1.418056872037915</v>
      </c>
      <c r="K6">
        <f t="shared" si="3"/>
        <v>29.319743886255928</v>
      </c>
      <c r="L6">
        <f t="shared" si="7"/>
        <v>2931.9743886255928</v>
      </c>
      <c r="M6">
        <f t="shared" si="4"/>
        <v>72.159239999999997</v>
      </c>
      <c r="N6">
        <f t="shared" si="8"/>
        <v>3.3080568720379149</v>
      </c>
      <c r="O6">
        <f t="shared" si="9"/>
        <v>1.3180568720379149</v>
      </c>
      <c r="P6">
        <f t="shared" si="10"/>
        <v>27.252143886255926</v>
      </c>
      <c r="Q6">
        <f t="shared" si="11"/>
        <v>2725.2143886255926</v>
      </c>
      <c r="R6">
        <f t="shared" si="12"/>
        <v>72.159239999999997</v>
      </c>
    </row>
    <row r="7" spans="1:18" x14ac:dyDescent="0.25">
      <c r="A7" t="s">
        <v>79</v>
      </c>
      <c r="B7">
        <v>1.45</v>
      </c>
      <c r="C7">
        <v>1.4</v>
      </c>
      <c r="D7">
        <v>1.89</v>
      </c>
      <c r="E7">
        <v>1.99</v>
      </c>
      <c r="F7">
        <v>18</v>
      </c>
      <c r="G7" s="1">
        <f t="shared" si="5"/>
        <v>18.067153138243192</v>
      </c>
      <c r="H7" s="1">
        <f t="shared" si="6"/>
        <v>24.434971063850067</v>
      </c>
      <c r="I7">
        <f t="shared" si="1"/>
        <v>1.8862559241706163</v>
      </c>
      <c r="J7">
        <f t="shared" si="2"/>
        <v>0.48625592417061636</v>
      </c>
      <c r="K7">
        <f t="shared" si="3"/>
        <v>8.7526066350710945</v>
      </c>
      <c r="L7">
        <f t="shared" si="7"/>
        <v>875.26066350710948</v>
      </c>
      <c r="M7">
        <f t="shared" si="4"/>
        <v>35.82</v>
      </c>
      <c r="N7">
        <f t="shared" si="8"/>
        <v>1.7914691943127963</v>
      </c>
      <c r="O7">
        <f t="shared" si="9"/>
        <v>0.34146919431279632</v>
      </c>
      <c r="P7">
        <f t="shared" si="10"/>
        <v>6.1464454976303333</v>
      </c>
      <c r="Q7">
        <f t="shared" si="11"/>
        <v>614.6445497630333</v>
      </c>
      <c r="R7">
        <f t="shared" si="12"/>
        <v>34.019999999999996</v>
      </c>
    </row>
    <row r="8" spans="1:18" x14ac:dyDescent="0.25">
      <c r="A8" t="s">
        <v>72</v>
      </c>
      <c r="B8">
        <v>1.45</v>
      </c>
      <c r="C8">
        <v>1.4</v>
      </c>
      <c r="D8">
        <v>1.89</v>
      </c>
      <c r="E8">
        <v>1.99</v>
      </c>
      <c r="F8">
        <v>49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23.826540284360203</v>
      </c>
      <c r="L8">
        <f t="shared" si="7"/>
        <v>2382.6540284360203</v>
      </c>
      <c r="M8">
        <f t="shared" si="4"/>
        <v>97.51</v>
      </c>
      <c r="N8">
        <f t="shared" si="8"/>
        <v>1.7914691943127963</v>
      </c>
      <c r="O8">
        <f t="shared" si="9"/>
        <v>0.34146919431279632</v>
      </c>
      <c r="P8">
        <f t="shared" si="10"/>
        <v>16.73199052132702</v>
      </c>
      <c r="Q8">
        <f t="shared" si="11"/>
        <v>1673.199052132702</v>
      </c>
      <c r="R8">
        <f t="shared" si="12"/>
        <v>92.61</v>
      </c>
    </row>
    <row r="9" spans="1:18" x14ac:dyDescent="0.25">
      <c r="A9" t="s">
        <v>15</v>
      </c>
      <c r="B9">
        <v>1.42</v>
      </c>
      <c r="C9">
        <v>1.4</v>
      </c>
      <c r="D9">
        <v>1.99</v>
      </c>
      <c r="E9">
        <v>1.99</v>
      </c>
      <c r="F9">
        <v>48</v>
      </c>
      <c r="G9" s="1">
        <f t="shared" si="5"/>
        <v>23.429945938221927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23.340284360189585</v>
      </c>
      <c r="L9">
        <f t="shared" si="7"/>
        <v>2334.0284360189585</v>
      </c>
      <c r="M9">
        <f t="shared" si="4"/>
        <v>95.52</v>
      </c>
      <c r="N9">
        <f t="shared" si="8"/>
        <v>1.8862559241706163</v>
      </c>
      <c r="O9">
        <f t="shared" si="9"/>
        <v>0.46625592417061634</v>
      </c>
      <c r="P9">
        <f t="shared" si="10"/>
        <v>22.380284360189584</v>
      </c>
      <c r="Q9">
        <f t="shared" si="11"/>
        <v>2238.0284360189585</v>
      </c>
      <c r="R9">
        <f t="shared" si="12"/>
        <v>95.52</v>
      </c>
    </row>
    <row r="10" spans="1:18" x14ac:dyDescent="0.25">
      <c r="A10" t="s">
        <v>67</v>
      </c>
      <c r="B10">
        <v>2.79</v>
      </c>
      <c r="C10">
        <v>2.79</v>
      </c>
      <c r="D10">
        <v>3.99</v>
      </c>
      <c r="E10">
        <v>3.99</v>
      </c>
      <c r="F10">
        <v>13.53</v>
      </c>
      <c r="G10" s="1">
        <f t="shared" si="5"/>
        <v>24.861917827744726</v>
      </c>
      <c r="H10" s="1">
        <f t="shared" si="6"/>
        <v>24.861917827744726</v>
      </c>
      <c r="I10">
        <f t="shared" si="1"/>
        <v>3.7819905213270149</v>
      </c>
      <c r="J10">
        <f t="shared" si="2"/>
        <v>0.99199052132701482</v>
      </c>
      <c r="K10">
        <f t="shared" si="3"/>
        <v>13.421631753554509</v>
      </c>
      <c r="L10">
        <f t="shared" si="7"/>
        <v>1342.1631753554509</v>
      </c>
      <c r="M10">
        <f t="shared" si="4"/>
        <v>53.984700000000004</v>
      </c>
      <c r="N10">
        <f t="shared" si="8"/>
        <v>3.7819905213270149</v>
      </c>
      <c r="O10">
        <f t="shared" si="9"/>
        <v>0.99199052132701482</v>
      </c>
      <c r="P10">
        <f t="shared" si="10"/>
        <v>13.421631753554509</v>
      </c>
      <c r="Q10">
        <f t="shared" si="11"/>
        <v>1342.1631753554509</v>
      </c>
      <c r="R10">
        <f t="shared" si="12"/>
        <v>53.984700000000004</v>
      </c>
    </row>
    <row r="11" spans="1:18" x14ac:dyDescent="0.25">
      <c r="A11" t="s">
        <v>21</v>
      </c>
      <c r="B11">
        <v>1.45</v>
      </c>
      <c r="C11">
        <v>1.4</v>
      </c>
      <c r="D11">
        <v>1.89</v>
      </c>
      <c r="E11">
        <v>1.99</v>
      </c>
      <c r="F11">
        <v>12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5.8350710900473963</v>
      </c>
      <c r="L11">
        <f t="shared" si="7"/>
        <v>583.50710900473962</v>
      </c>
      <c r="M11">
        <f t="shared" si="4"/>
        <v>23.88</v>
      </c>
      <c r="N11">
        <f t="shared" si="8"/>
        <v>1.7914691943127963</v>
      </c>
      <c r="O11">
        <f t="shared" si="9"/>
        <v>0.34146919431279632</v>
      </c>
      <c r="P11">
        <f t="shared" si="10"/>
        <v>4.0976303317535558</v>
      </c>
      <c r="Q11">
        <f t="shared" si="11"/>
        <v>409.76303317535559</v>
      </c>
      <c r="R11">
        <f t="shared" si="12"/>
        <v>22.68</v>
      </c>
    </row>
    <row r="12" spans="1:18" x14ac:dyDescent="0.25">
      <c r="A12" t="s">
        <v>20</v>
      </c>
      <c r="B12">
        <v>1.39</v>
      </c>
      <c r="C12">
        <v>0.65</v>
      </c>
      <c r="D12">
        <v>1.99</v>
      </c>
      <c r="E12">
        <v>1.39</v>
      </c>
      <c r="F12">
        <v>176</v>
      </c>
      <c r="G12" s="1">
        <f t="shared" si="5"/>
        <v>24.93748362666414</v>
      </c>
      <c r="H12" s="1">
        <f t="shared" si="6"/>
        <v>48.024139929762356</v>
      </c>
      <c r="I12">
        <f t="shared" si="1"/>
        <v>1.3175355450236967</v>
      </c>
      <c r="J12">
        <f t="shared" si="2"/>
        <v>0.66753554502369672</v>
      </c>
      <c r="K12">
        <f t="shared" si="3"/>
        <v>117.48625592417062</v>
      </c>
      <c r="L12">
        <f t="shared" si="7"/>
        <v>11748.625592417062</v>
      </c>
      <c r="M12">
        <f t="shared" si="4"/>
        <v>244.64</v>
      </c>
      <c r="N12">
        <f t="shared" si="8"/>
        <v>1.8862559241706163</v>
      </c>
      <c r="O12">
        <f t="shared" si="9"/>
        <v>0.49625592417061637</v>
      </c>
      <c r="P12">
        <f t="shared" si="10"/>
        <v>87.341042654028485</v>
      </c>
      <c r="Q12">
        <f t="shared" si="11"/>
        <v>8734.1042654028479</v>
      </c>
      <c r="R12">
        <f t="shared" si="12"/>
        <v>350.24</v>
      </c>
    </row>
    <row r="13" spans="1:18" x14ac:dyDescent="0.25">
      <c r="A13" t="s">
        <v>69</v>
      </c>
      <c r="B13">
        <v>0.8</v>
      </c>
      <c r="C13">
        <v>0.6</v>
      </c>
      <c r="D13">
        <v>1.19</v>
      </c>
      <c r="E13">
        <v>0.99</v>
      </c>
      <c r="F13">
        <v>52</v>
      </c>
      <c r="G13" s="1">
        <f t="shared" si="5"/>
        <v>27.55983910151739</v>
      </c>
      <c r="H13" s="1">
        <f t="shared" si="6"/>
        <v>34.180669251759305</v>
      </c>
      <c r="I13">
        <f t="shared" si="1"/>
        <v>0.93838862559241709</v>
      </c>
      <c r="J13">
        <f t="shared" si="2"/>
        <v>0.33838862559241711</v>
      </c>
      <c r="K13">
        <f t="shared" si="3"/>
        <v>17.59620853080569</v>
      </c>
      <c r="L13">
        <f t="shared" si="7"/>
        <v>1759.6208530805691</v>
      </c>
      <c r="M13">
        <f t="shared" si="4"/>
        <v>51.48</v>
      </c>
      <c r="N13">
        <f t="shared" si="8"/>
        <v>1.127962085308057</v>
      </c>
      <c r="O13">
        <f t="shared" si="9"/>
        <v>0.32796208530805693</v>
      </c>
      <c r="P13">
        <f t="shared" si="10"/>
        <v>17.05402843601896</v>
      </c>
      <c r="Q13">
        <f t="shared" si="11"/>
        <v>1705.4028436018959</v>
      </c>
      <c r="R13">
        <f t="shared" si="12"/>
        <v>61.879999999999995</v>
      </c>
    </row>
    <row r="14" spans="1:18" x14ac:dyDescent="0.25">
      <c r="A14" t="s">
        <v>25</v>
      </c>
      <c r="B14">
        <v>2.8</v>
      </c>
      <c r="C14">
        <v>2.65</v>
      </c>
      <c r="D14">
        <v>3.99</v>
      </c>
      <c r="E14">
        <v>3.99</v>
      </c>
      <c r="F14">
        <v>10</v>
      </c>
      <c r="G14" s="1">
        <f t="shared" si="5"/>
        <v>24.611291261328695</v>
      </c>
      <c r="H14" s="1">
        <f t="shared" si="6"/>
        <v>28.370689757569298</v>
      </c>
      <c r="I14">
        <f t="shared" si="1"/>
        <v>3.7819905213270149</v>
      </c>
      <c r="J14">
        <f t="shared" si="2"/>
        <v>1.1319905213270149</v>
      </c>
      <c r="K14">
        <f t="shared" si="3"/>
        <v>11.31990521327015</v>
      </c>
      <c r="L14">
        <f t="shared" si="7"/>
        <v>1131.9905213270151</v>
      </c>
      <c r="M14">
        <f t="shared" si="4"/>
        <v>39.900000000000006</v>
      </c>
      <c r="N14">
        <f t="shared" si="8"/>
        <v>3.7819905213270149</v>
      </c>
      <c r="O14">
        <f t="shared" si="9"/>
        <v>0.98199052132701503</v>
      </c>
      <c r="P14">
        <f t="shared" si="10"/>
        <v>9.8199052132701503</v>
      </c>
      <c r="Q14">
        <f t="shared" si="11"/>
        <v>981.99052132701502</v>
      </c>
      <c r="R14">
        <f t="shared" si="12"/>
        <v>39.900000000000006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1127" priority="188" operator="lessThan">
      <formula>$C$4</formula>
    </cfRule>
  </conditionalFormatting>
  <conditionalFormatting sqref="C4">
    <cfRule type="cellIs" dxfId="1126" priority="187" operator="lessThan">
      <formula>$B$4</formula>
    </cfRule>
  </conditionalFormatting>
  <conditionalFormatting sqref="B5">
    <cfRule type="cellIs" dxfId="1125" priority="186" operator="lessThan">
      <formula>$C$5</formula>
    </cfRule>
  </conditionalFormatting>
  <conditionalFormatting sqref="C5">
    <cfRule type="cellIs" dxfId="1124" priority="185" operator="lessThan">
      <formula>$B$5</formula>
    </cfRule>
  </conditionalFormatting>
  <conditionalFormatting sqref="B6">
    <cfRule type="cellIs" dxfId="1123" priority="184" operator="lessThan">
      <formula>$C$6</formula>
    </cfRule>
  </conditionalFormatting>
  <conditionalFormatting sqref="C6">
    <cfRule type="cellIs" dxfId="1122" priority="183" operator="lessThan">
      <formula>$B$6</formula>
    </cfRule>
  </conditionalFormatting>
  <conditionalFormatting sqref="B7">
    <cfRule type="cellIs" dxfId="1121" priority="182" operator="lessThan">
      <formula>$C$7</formula>
    </cfRule>
  </conditionalFormatting>
  <conditionalFormatting sqref="C7">
    <cfRule type="cellIs" dxfId="1120" priority="181" operator="lessThan">
      <formula>$B$7</formula>
    </cfRule>
  </conditionalFormatting>
  <conditionalFormatting sqref="B8">
    <cfRule type="cellIs" dxfId="1119" priority="180" operator="lessThan">
      <formula>$C$8</formula>
    </cfRule>
  </conditionalFormatting>
  <conditionalFormatting sqref="C8">
    <cfRule type="cellIs" dxfId="1118" priority="179" operator="lessThan">
      <formula>$B$8</formula>
    </cfRule>
  </conditionalFormatting>
  <conditionalFormatting sqref="B9">
    <cfRule type="cellIs" dxfId="1117" priority="178" operator="lessThan">
      <formula>$C$9</formula>
    </cfRule>
  </conditionalFormatting>
  <conditionalFormatting sqref="C9">
    <cfRule type="cellIs" dxfId="1116" priority="177" operator="lessThan">
      <formula>$B$9</formula>
    </cfRule>
  </conditionalFormatting>
  <conditionalFormatting sqref="B10">
    <cfRule type="cellIs" dxfId="1115" priority="176" operator="lessThan">
      <formula>$C$10</formula>
    </cfRule>
  </conditionalFormatting>
  <conditionalFormatting sqref="C10">
    <cfRule type="cellIs" dxfId="1114" priority="175" operator="lessThan">
      <formula>$B$10</formula>
    </cfRule>
  </conditionalFormatting>
  <conditionalFormatting sqref="B11">
    <cfRule type="cellIs" dxfId="1113" priority="174" operator="lessThan">
      <formula>$C$11</formula>
    </cfRule>
  </conditionalFormatting>
  <conditionalFormatting sqref="C11">
    <cfRule type="cellIs" dxfId="1112" priority="173" operator="lessThan">
      <formula>$B$11</formula>
    </cfRule>
  </conditionalFormatting>
  <conditionalFormatting sqref="B12">
    <cfRule type="cellIs" dxfId="1111" priority="172" operator="lessThan">
      <formula>$C$12</formula>
    </cfRule>
  </conditionalFormatting>
  <conditionalFormatting sqref="C12">
    <cfRule type="cellIs" dxfId="1110" priority="171" operator="lessThan">
      <formula>$B$12</formula>
    </cfRule>
  </conditionalFormatting>
  <conditionalFormatting sqref="B13">
    <cfRule type="cellIs" dxfId="1109" priority="170" operator="lessThan">
      <formula>$C$13</formula>
    </cfRule>
  </conditionalFormatting>
  <conditionalFormatting sqref="C13">
    <cfRule type="cellIs" dxfId="1108" priority="169" operator="lessThan">
      <formula>$B$13</formula>
    </cfRule>
  </conditionalFormatting>
  <conditionalFormatting sqref="B14">
    <cfRule type="cellIs" dxfId="1107" priority="168" operator="lessThan">
      <formula>$C$14</formula>
    </cfRule>
  </conditionalFormatting>
  <conditionalFormatting sqref="C14">
    <cfRule type="cellIs" dxfId="1106" priority="167" operator="lessThan">
      <formula>$B$14</formula>
    </cfRule>
  </conditionalFormatting>
  <conditionalFormatting sqref="B15">
    <cfRule type="cellIs" dxfId="1105" priority="166" operator="lessThan">
      <formula>$C$15</formula>
    </cfRule>
  </conditionalFormatting>
  <conditionalFormatting sqref="C15">
    <cfRule type="cellIs" dxfId="1104" priority="165" operator="lessThan">
      <formula>$B$15</formula>
    </cfRule>
  </conditionalFormatting>
  <conditionalFormatting sqref="B16">
    <cfRule type="cellIs" dxfId="1103" priority="164" operator="lessThan">
      <formula>$C$16</formula>
    </cfRule>
  </conditionalFormatting>
  <conditionalFormatting sqref="C16">
    <cfRule type="cellIs" dxfId="1102" priority="163" operator="lessThan">
      <formula>$B$16</formula>
    </cfRule>
  </conditionalFormatting>
  <conditionalFormatting sqref="B17">
    <cfRule type="cellIs" dxfId="1101" priority="162" operator="lessThan">
      <formula>$C$17</formula>
    </cfRule>
  </conditionalFormatting>
  <conditionalFormatting sqref="C17">
    <cfRule type="cellIs" dxfId="1100" priority="161" operator="lessThan">
      <formula>$B$17</formula>
    </cfRule>
  </conditionalFormatting>
  <conditionalFormatting sqref="B18">
    <cfRule type="cellIs" dxfId="1099" priority="160" operator="lessThan">
      <formula>$C$18</formula>
    </cfRule>
  </conditionalFormatting>
  <conditionalFormatting sqref="C18">
    <cfRule type="cellIs" dxfId="1098" priority="159" operator="lessThan">
      <formula>$B$18</formula>
    </cfRule>
  </conditionalFormatting>
  <conditionalFormatting sqref="C19">
    <cfRule type="cellIs" dxfId="1097" priority="158" operator="lessThan">
      <formula>$B$19</formula>
    </cfRule>
  </conditionalFormatting>
  <conditionalFormatting sqref="B19">
    <cfRule type="cellIs" dxfId="1096" priority="157" operator="lessThan">
      <formula>$C$19</formula>
    </cfRule>
  </conditionalFormatting>
  <conditionalFormatting sqref="B20">
    <cfRule type="cellIs" dxfId="1095" priority="156" operator="lessThan">
      <formula>$C$20</formula>
    </cfRule>
  </conditionalFormatting>
  <conditionalFormatting sqref="C20">
    <cfRule type="cellIs" dxfId="1094" priority="155" operator="lessThan">
      <formula>$B$20</formula>
    </cfRule>
  </conditionalFormatting>
  <conditionalFormatting sqref="B21">
    <cfRule type="cellIs" dxfId="1093" priority="154" operator="lessThan">
      <formula>$C$21</formula>
    </cfRule>
  </conditionalFormatting>
  <conditionalFormatting sqref="C21">
    <cfRule type="cellIs" dxfId="1092" priority="153" operator="lessThan">
      <formula>$B$21</formula>
    </cfRule>
  </conditionalFormatting>
  <conditionalFormatting sqref="B22">
    <cfRule type="cellIs" dxfId="1091" priority="152" operator="lessThan">
      <formula>$C$22</formula>
    </cfRule>
  </conditionalFormatting>
  <conditionalFormatting sqref="C22">
    <cfRule type="cellIs" dxfId="1090" priority="151" operator="lessThan">
      <formula>$B$22</formula>
    </cfRule>
  </conditionalFormatting>
  <conditionalFormatting sqref="B23">
    <cfRule type="cellIs" dxfId="1089" priority="150" operator="lessThan">
      <formula>$C$23</formula>
    </cfRule>
  </conditionalFormatting>
  <conditionalFormatting sqref="C23">
    <cfRule type="cellIs" dxfId="1088" priority="149" operator="lessThan">
      <formula>$B$23</formula>
    </cfRule>
  </conditionalFormatting>
  <conditionalFormatting sqref="B24">
    <cfRule type="cellIs" dxfId="1087" priority="148" operator="lessThan">
      <formula>$C$24</formula>
    </cfRule>
  </conditionalFormatting>
  <conditionalFormatting sqref="C24">
    <cfRule type="cellIs" dxfId="1086" priority="147" operator="lessThan">
      <formula>$B$24</formula>
    </cfRule>
  </conditionalFormatting>
  <conditionalFormatting sqref="B25">
    <cfRule type="cellIs" dxfId="1085" priority="146" operator="lessThan">
      <formula>$C$25</formula>
    </cfRule>
  </conditionalFormatting>
  <conditionalFormatting sqref="C25">
    <cfRule type="cellIs" dxfId="1084" priority="145" operator="lessThan">
      <formula>$B$25</formula>
    </cfRule>
  </conditionalFormatting>
  <conditionalFormatting sqref="B26">
    <cfRule type="cellIs" dxfId="1083" priority="144" operator="lessThan">
      <formula>$C$26</formula>
    </cfRule>
  </conditionalFormatting>
  <conditionalFormatting sqref="C26">
    <cfRule type="cellIs" dxfId="1082" priority="143" operator="lessThan">
      <formula>$B$26</formula>
    </cfRule>
  </conditionalFormatting>
  <conditionalFormatting sqref="B27">
    <cfRule type="cellIs" dxfId="1081" priority="142" operator="lessThan">
      <formula>$C$27</formula>
    </cfRule>
  </conditionalFormatting>
  <conditionalFormatting sqref="C27">
    <cfRule type="cellIs" dxfId="1080" priority="141" operator="lessThan">
      <formula>$B$27</formula>
    </cfRule>
  </conditionalFormatting>
  <conditionalFormatting sqref="B28">
    <cfRule type="cellIs" dxfId="1079" priority="140" operator="lessThan">
      <formula>$C$28</formula>
    </cfRule>
  </conditionalFormatting>
  <conditionalFormatting sqref="C28">
    <cfRule type="cellIs" dxfId="1078" priority="139" operator="lessThan">
      <formula>$B$28</formula>
    </cfRule>
  </conditionalFormatting>
  <conditionalFormatting sqref="B29">
    <cfRule type="cellIs" dxfId="1077" priority="138" operator="lessThan">
      <formula>$C$29</formula>
    </cfRule>
  </conditionalFormatting>
  <conditionalFormatting sqref="C29">
    <cfRule type="cellIs" dxfId="1076" priority="137" operator="lessThan">
      <formula>$B$29</formula>
    </cfRule>
  </conditionalFormatting>
  <conditionalFormatting sqref="B30">
    <cfRule type="cellIs" dxfId="1075" priority="136" operator="lessThan">
      <formula>$C$30</formula>
    </cfRule>
  </conditionalFormatting>
  <conditionalFormatting sqref="C30">
    <cfRule type="cellIs" dxfId="1074" priority="135" operator="lessThan">
      <formula>$B$30</formula>
    </cfRule>
  </conditionalFormatting>
  <conditionalFormatting sqref="B31">
    <cfRule type="cellIs" dxfId="1073" priority="134" operator="lessThan">
      <formula>$C$31</formula>
    </cfRule>
  </conditionalFormatting>
  <conditionalFormatting sqref="C31">
    <cfRule type="cellIs" dxfId="1072" priority="133" operator="lessThan">
      <formula>$B$31</formula>
    </cfRule>
  </conditionalFormatting>
  <conditionalFormatting sqref="B32">
    <cfRule type="cellIs" dxfId="1071" priority="132" operator="lessThan">
      <formula>$C$32</formula>
    </cfRule>
  </conditionalFormatting>
  <conditionalFormatting sqref="C32">
    <cfRule type="cellIs" dxfId="1070" priority="131" operator="lessThan">
      <formula>$B$32</formula>
    </cfRule>
  </conditionalFormatting>
  <conditionalFormatting sqref="B33">
    <cfRule type="cellIs" dxfId="1069" priority="130" operator="lessThan">
      <formula>$C$33</formula>
    </cfRule>
  </conditionalFormatting>
  <conditionalFormatting sqref="C33">
    <cfRule type="cellIs" dxfId="1068" priority="129" operator="lessThan">
      <formula>$B$33</formula>
    </cfRule>
  </conditionalFormatting>
  <conditionalFormatting sqref="B34">
    <cfRule type="cellIs" dxfId="1067" priority="128" operator="lessThan">
      <formula>$C$34</formula>
    </cfRule>
  </conditionalFormatting>
  <conditionalFormatting sqref="C34">
    <cfRule type="cellIs" dxfId="1066" priority="127" operator="lessThan">
      <formula>$B$34</formula>
    </cfRule>
  </conditionalFormatting>
  <conditionalFormatting sqref="B35">
    <cfRule type="cellIs" dxfId="1065" priority="126" operator="lessThan">
      <formula>$C$35</formula>
    </cfRule>
  </conditionalFormatting>
  <conditionalFormatting sqref="C35">
    <cfRule type="cellIs" dxfId="1064" priority="125" operator="lessThan">
      <formula>$B$35</formula>
    </cfRule>
  </conditionalFormatting>
  <conditionalFormatting sqref="B36">
    <cfRule type="cellIs" dxfId="1063" priority="124" operator="lessThan">
      <formula>$C$36</formula>
    </cfRule>
  </conditionalFormatting>
  <conditionalFormatting sqref="C36">
    <cfRule type="cellIs" dxfId="1062" priority="123" operator="lessThan">
      <formula>$B$36</formula>
    </cfRule>
  </conditionalFormatting>
  <conditionalFormatting sqref="B37">
    <cfRule type="cellIs" dxfId="1061" priority="122" operator="lessThan">
      <formula>$C$37</formula>
    </cfRule>
  </conditionalFormatting>
  <conditionalFormatting sqref="C37">
    <cfRule type="cellIs" dxfId="1060" priority="121" operator="lessThan">
      <formula>$B$37</formula>
    </cfRule>
  </conditionalFormatting>
  <conditionalFormatting sqref="B38">
    <cfRule type="cellIs" dxfId="1059" priority="120" operator="lessThan">
      <formula>$C$38</formula>
    </cfRule>
  </conditionalFormatting>
  <conditionalFormatting sqref="C38">
    <cfRule type="cellIs" dxfId="1058" priority="119" operator="lessThan">
      <formula>$B$38</formula>
    </cfRule>
  </conditionalFormatting>
  <conditionalFormatting sqref="B39">
    <cfRule type="cellIs" dxfId="1057" priority="118" operator="lessThan">
      <formula>$C$39</formula>
    </cfRule>
  </conditionalFormatting>
  <conditionalFormatting sqref="C39">
    <cfRule type="cellIs" dxfId="1056" priority="117" operator="lessThan">
      <formula>$B$39</formula>
    </cfRule>
  </conditionalFormatting>
  <conditionalFormatting sqref="B40">
    <cfRule type="cellIs" dxfId="1055" priority="116" operator="lessThan">
      <formula>$C$40</formula>
    </cfRule>
  </conditionalFormatting>
  <conditionalFormatting sqref="C40">
    <cfRule type="cellIs" dxfId="1054" priority="115" operator="lessThan">
      <formula>$B$40</formula>
    </cfRule>
  </conditionalFormatting>
  <conditionalFormatting sqref="B41">
    <cfRule type="cellIs" dxfId="1053" priority="114" operator="lessThan">
      <formula>$C$41</formula>
    </cfRule>
  </conditionalFormatting>
  <conditionalFormatting sqref="C41">
    <cfRule type="cellIs" dxfId="1052" priority="113" operator="lessThan">
      <formula>$B$41</formula>
    </cfRule>
  </conditionalFormatting>
  <conditionalFormatting sqref="B42">
    <cfRule type="cellIs" dxfId="1051" priority="112" operator="lessThan">
      <formula>$C$42</formula>
    </cfRule>
  </conditionalFormatting>
  <conditionalFormatting sqref="C42">
    <cfRule type="cellIs" dxfId="1050" priority="111" operator="lessThan">
      <formula>$B$42</formula>
    </cfRule>
  </conditionalFormatting>
  <conditionalFormatting sqref="B43">
    <cfRule type="cellIs" dxfId="1049" priority="110" operator="lessThan">
      <formula>$C$43</formula>
    </cfRule>
  </conditionalFormatting>
  <conditionalFormatting sqref="C43">
    <cfRule type="cellIs" dxfId="1048" priority="109" operator="lessThan">
      <formula>$B$43</formula>
    </cfRule>
  </conditionalFormatting>
  <conditionalFormatting sqref="B44">
    <cfRule type="cellIs" dxfId="1047" priority="108" operator="lessThan">
      <formula>$C$44</formula>
    </cfRule>
  </conditionalFormatting>
  <conditionalFormatting sqref="C44">
    <cfRule type="cellIs" dxfId="1046" priority="107" operator="lessThan">
      <formula>$B$44</formula>
    </cfRule>
  </conditionalFormatting>
  <conditionalFormatting sqref="B45">
    <cfRule type="cellIs" dxfId="1045" priority="106" operator="lessThan">
      <formula>$C$45</formula>
    </cfRule>
  </conditionalFormatting>
  <conditionalFormatting sqref="C45">
    <cfRule type="cellIs" dxfId="1044" priority="105" operator="lessThan">
      <formula>$B$45</formula>
    </cfRule>
  </conditionalFormatting>
  <conditionalFormatting sqref="B46">
    <cfRule type="cellIs" dxfId="1043" priority="104" operator="lessThan">
      <formula>$C$46</formula>
    </cfRule>
  </conditionalFormatting>
  <conditionalFormatting sqref="C46">
    <cfRule type="cellIs" dxfId="1042" priority="103" operator="lessThan">
      <formula>$B$46</formula>
    </cfRule>
  </conditionalFormatting>
  <conditionalFormatting sqref="B47">
    <cfRule type="cellIs" dxfId="1041" priority="102" operator="lessThan">
      <formula>$C$47</formula>
    </cfRule>
  </conditionalFormatting>
  <conditionalFormatting sqref="C47">
    <cfRule type="cellIs" dxfId="1040" priority="101" operator="lessThan">
      <formula>$B$47</formula>
    </cfRule>
  </conditionalFormatting>
  <conditionalFormatting sqref="B48">
    <cfRule type="cellIs" dxfId="1039" priority="100" operator="lessThan">
      <formula>$C$48</formula>
    </cfRule>
  </conditionalFormatting>
  <conditionalFormatting sqref="C48">
    <cfRule type="cellIs" dxfId="1038" priority="99" operator="lessThan">
      <formula>$B$48</formula>
    </cfRule>
  </conditionalFormatting>
  <conditionalFormatting sqref="B49">
    <cfRule type="cellIs" dxfId="1037" priority="98" operator="lessThan">
      <formula>$C$49</formula>
    </cfRule>
  </conditionalFormatting>
  <conditionalFormatting sqref="C49">
    <cfRule type="cellIs" dxfId="1036" priority="97" operator="lessThan">
      <formula>$B$49</formula>
    </cfRule>
  </conditionalFormatting>
  <conditionalFormatting sqref="B50">
    <cfRule type="cellIs" dxfId="1035" priority="96" operator="lessThan">
      <formula>$C$50</formula>
    </cfRule>
  </conditionalFormatting>
  <conditionalFormatting sqref="C50">
    <cfRule type="cellIs" dxfId="1034" priority="95" operator="lessThan">
      <formula>$B$50</formula>
    </cfRule>
  </conditionalFormatting>
  <conditionalFormatting sqref="D4">
    <cfRule type="cellIs" dxfId="1033" priority="94" operator="lessThan">
      <formula>$E$4</formula>
    </cfRule>
  </conditionalFormatting>
  <conditionalFormatting sqref="E4">
    <cfRule type="cellIs" dxfId="1032" priority="93" operator="lessThan">
      <formula>$D$4</formula>
    </cfRule>
  </conditionalFormatting>
  <conditionalFormatting sqref="D5">
    <cfRule type="cellIs" dxfId="1031" priority="92" operator="lessThan">
      <formula>$E$5</formula>
    </cfRule>
  </conditionalFormatting>
  <conditionalFormatting sqref="E5">
    <cfRule type="cellIs" dxfId="1030" priority="91" operator="lessThan">
      <formula>$D$5</formula>
    </cfRule>
  </conditionalFormatting>
  <conditionalFormatting sqref="D6">
    <cfRule type="cellIs" dxfId="1029" priority="90" operator="lessThan">
      <formula>$E$6</formula>
    </cfRule>
  </conditionalFormatting>
  <conditionalFormatting sqref="E6">
    <cfRule type="cellIs" dxfId="1028" priority="89" operator="lessThan">
      <formula>$D$6</formula>
    </cfRule>
  </conditionalFormatting>
  <conditionalFormatting sqref="D7">
    <cfRule type="cellIs" dxfId="1027" priority="88" operator="lessThan">
      <formula>$E$7</formula>
    </cfRule>
  </conditionalFormatting>
  <conditionalFormatting sqref="E7">
    <cfRule type="cellIs" dxfId="1026" priority="87" operator="lessThan">
      <formula>$D$7</formula>
    </cfRule>
  </conditionalFormatting>
  <conditionalFormatting sqref="D8">
    <cfRule type="cellIs" dxfId="1025" priority="86" operator="lessThan">
      <formula>$E$8</formula>
    </cfRule>
  </conditionalFormatting>
  <conditionalFormatting sqref="E8">
    <cfRule type="cellIs" dxfId="1024" priority="85" operator="lessThan">
      <formula>$D$8</formula>
    </cfRule>
  </conditionalFormatting>
  <conditionalFormatting sqref="D9">
    <cfRule type="cellIs" dxfId="1023" priority="84" operator="lessThan">
      <formula>$E$9</formula>
    </cfRule>
  </conditionalFormatting>
  <conditionalFormatting sqref="E9">
    <cfRule type="cellIs" dxfId="1022" priority="83" operator="lessThan">
      <formula>$D$9</formula>
    </cfRule>
  </conditionalFormatting>
  <conditionalFormatting sqref="D10">
    <cfRule type="cellIs" dxfId="1021" priority="82" operator="lessThan">
      <formula>$E$10</formula>
    </cfRule>
  </conditionalFormatting>
  <conditionalFormatting sqref="E10">
    <cfRule type="cellIs" dxfId="1020" priority="81" operator="lessThan">
      <formula>$D$10</formula>
    </cfRule>
  </conditionalFormatting>
  <conditionalFormatting sqref="D11">
    <cfRule type="cellIs" dxfId="1019" priority="80" operator="lessThan">
      <formula>$E$11</formula>
    </cfRule>
  </conditionalFormatting>
  <conditionalFormatting sqref="E11">
    <cfRule type="cellIs" dxfId="1018" priority="79" operator="lessThan">
      <formula>$D$11</formula>
    </cfRule>
  </conditionalFormatting>
  <conditionalFormatting sqref="D12">
    <cfRule type="cellIs" dxfId="1017" priority="78" operator="lessThan">
      <formula>$E$12</formula>
    </cfRule>
  </conditionalFormatting>
  <conditionalFormatting sqref="E12">
    <cfRule type="cellIs" dxfId="1016" priority="77" operator="lessThan">
      <formula>$D$12</formula>
    </cfRule>
  </conditionalFormatting>
  <conditionalFormatting sqref="D13">
    <cfRule type="cellIs" dxfId="1015" priority="76" operator="lessThan">
      <formula>$E$13</formula>
    </cfRule>
  </conditionalFormatting>
  <conditionalFormatting sqref="E13">
    <cfRule type="cellIs" dxfId="1014" priority="75" operator="lessThan">
      <formula>$D$13</formula>
    </cfRule>
  </conditionalFormatting>
  <conditionalFormatting sqref="D14">
    <cfRule type="cellIs" dxfId="1013" priority="74" operator="lessThan">
      <formula>$E$14</formula>
    </cfRule>
  </conditionalFormatting>
  <conditionalFormatting sqref="E14">
    <cfRule type="cellIs" dxfId="1012" priority="73" operator="lessThan">
      <formula>$D$14</formula>
    </cfRule>
  </conditionalFormatting>
  <conditionalFormatting sqref="D15">
    <cfRule type="cellIs" dxfId="1011" priority="72" operator="lessThan">
      <formula>$E$15</formula>
    </cfRule>
  </conditionalFormatting>
  <conditionalFormatting sqref="E15">
    <cfRule type="cellIs" dxfId="1010" priority="71" operator="lessThan">
      <formula>$D$15</formula>
    </cfRule>
  </conditionalFormatting>
  <conditionalFormatting sqref="D16">
    <cfRule type="cellIs" dxfId="1009" priority="70" operator="lessThan">
      <formula>$E$16</formula>
    </cfRule>
  </conditionalFormatting>
  <conditionalFormatting sqref="E16">
    <cfRule type="cellIs" dxfId="1008" priority="69" operator="lessThan">
      <formula>$D$16</formula>
    </cfRule>
  </conditionalFormatting>
  <conditionalFormatting sqref="D17">
    <cfRule type="cellIs" dxfId="1007" priority="68" operator="lessThan">
      <formula>$E$17</formula>
    </cfRule>
  </conditionalFormatting>
  <conditionalFormatting sqref="E17">
    <cfRule type="cellIs" dxfId="1006" priority="67" operator="lessThan">
      <formula>$D$17</formula>
    </cfRule>
  </conditionalFormatting>
  <conditionalFormatting sqref="D18">
    <cfRule type="cellIs" dxfId="1005" priority="66" operator="lessThan">
      <formula>$E$18</formula>
    </cfRule>
  </conditionalFormatting>
  <conditionalFormatting sqref="E18">
    <cfRule type="cellIs" dxfId="1004" priority="65" operator="lessThan">
      <formula>$D$18</formula>
    </cfRule>
  </conditionalFormatting>
  <conditionalFormatting sqref="D19">
    <cfRule type="cellIs" dxfId="1003" priority="64" operator="lessThan">
      <formula>$E$19</formula>
    </cfRule>
  </conditionalFormatting>
  <conditionalFormatting sqref="E19">
    <cfRule type="cellIs" dxfId="1002" priority="63" operator="lessThan">
      <formula>$D$19</formula>
    </cfRule>
  </conditionalFormatting>
  <conditionalFormatting sqref="D20">
    <cfRule type="cellIs" dxfId="1001" priority="62" operator="lessThan">
      <formula>$E$20</formula>
    </cfRule>
  </conditionalFormatting>
  <conditionalFormatting sqref="E20">
    <cfRule type="cellIs" dxfId="1000" priority="61" operator="lessThan">
      <formula>$D$20</formula>
    </cfRule>
  </conditionalFormatting>
  <conditionalFormatting sqref="D21">
    <cfRule type="cellIs" dxfId="999" priority="60" operator="lessThan">
      <formula>$E$21</formula>
    </cfRule>
  </conditionalFormatting>
  <conditionalFormatting sqref="E21">
    <cfRule type="cellIs" dxfId="998" priority="59" operator="lessThan">
      <formula>$D$21</formula>
    </cfRule>
  </conditionalFormatting>
  <conditionalFormatting sqref="D22">
    <cfRule type="cellIs" dxfId="997" priority="58" operator="lessThan">
      <formula>$E$22</formula>
    </cfRule>
  </conditionalFormatting>
  <conditionalFormatting sqref="E22">
    <cfRule type="cellIs" dxfId="996" priority="57" operator="lessThan">
      <formula>$D$22</formula>
    </cfRule>
  </conditionalFormatting>
  <conditionalFormatting sqref="D23">
    <cfRule type="cellIs" dxfId="995" priority="56" operator="lessThan">
      <formula>$E$23</formula>
    </cfRule>
  </conditionalFormatting>
  <conditionalFormatting sqref="E23">
    <cfRule type="cellIs" dxfId="994" priority="55" operator="lessThan">
      <formula>$D$23</formula>
    </cfRule>
  </conditionalFormatting>
  <conditionalFormatting sqref="D24">
    <cfRule type="cellIs" dxfId="993" priority="54" operator="lessThan">
      <formula>$E$24</formula>
    </cfRule>
  </conditionalFormatting>
  <conditionalFormatting sqref="E24">
    <cfRule type="cellIs" dxfId="992" priority="53" operator="lessThan">
      <formula>$D$24</formula>
    </cfRule>
  </conditionalFormatting>
  <conditionalFormatting sqref="D25">
    <cfRule type="cellIs" dxfId="991" priority="52" operator="lessThan">
      <formula>$E$25</formula>
    </cfRule>
  </conditionalFormatting>
  <conditionalFormatting sqref="E25">
    <cfRule type="cellIs" dxfId="990" priority="51" operator="lessThan">
      <formula>$D$25</formula>
    </cfRule>
  </conditionalFormatting>
  <conditionalFormatting sqref="D26">
    <cfRule type="cellIs" dxfId="989" priority="50" operator="lessThan">
      <formula>$E$26</formula>
    </cfRule>
  </conditionalFormatting>
  <conditionalFormatting sqref="E26">
    <cfRule type="cellIs" dxfId="988" priority="49" operator="lessThan">
      <formula>$D$26</formula>
    </cfRule>
  </conditionalFormatting>
  <conditionalFormatting sqref="D27">
    <cfRule type="cellIs" dxfId="987" priority="48" operator="lessThan">
      <formula>$E$27</formula>
    </cfRule>
  </conditionalFormatting>
  <conditionalFormatting sqref="E27">
    <cfRule type="cellIs" dxfId="986" priority="47" operator="lessThan">
      <formula>$D$27</formula>
    </cfRule>
  </conditionalFormatting>
  <conditionalFormatting sqref="D28">
    <cfRule type="cellIs" dxfId="985" priority="46" operator="lessThan">
      <formula>$E$28</formula>
    </cfRule>
  </conditionalFormatting>
  <conditionalFormatting sqref="E28">
    <cfRule type="cellIs" dxfId="984" priority="45" operator="lessThan">
      <formula>$D$28</formula>
    </cfRule>
  </conditionalFormatting>
  <conditionalFormatting sqref="D29">
    <cfRule type="cellIs" dxfId="983" priority="44" operator="lessThan">
      <formula>$E$29</formula>
    </cfRule>
  </conditionalFormatting>
  <conditionalFormatting sqref="E29">
    <cfRule type="cellIs" dxfId="982" priority="43" operator="lessThan">
      <formula>$D$29</formula>
    </cfRule>
  </conditionalFormatting>
  <conditionalFormatting sqref="D30">
    <cfRule type="cellIs" dxfId="981" priority="42" operator="lessThan">
      <formula>$E$30</formula>
    </cfRule>
  </conditionalFormatting>
  <conditionalFormatting sqref="E30">
    <cfRule type="cellIs" dxfId="980" priority="41" operator="lessThan">
      <formula>$D$30</formula>
    </cfRule>
  </conditionalFormatting>
  <conditionalFormatting sqref="D31">
    <cfRule type="cellIs" dxfId="979" priority="40" operator="lessThan">
      <formula>$E$31</formula>
    </cfRule>
  </conditionalFormatting>
  <conditionalFormatting sqref="E31">
    <cfRule type="cellIs" dxfId="978" priority="39" operator="lessThan">
      <formula>$D$31</formula>
    </cfRule>
  </conditionalFormatting>
  <conditionalFormatting sqref="D32">
    <cfRule type="cellIs" dxfId="977" priority="38" operator="lessThan">
      <formula>$E$32</formula>
    </cfRule>
  </conditionalFormatting>
  <conditionalFormatting sqref="E32">
    <cfRule type="cellIs" dxfId="976" priority="37" operator="lessThan">
      <formula>$D$32</formula>
    </cfRule>
  </conditionalFormatting>
  <conditionalFormatting sqref="D33">
    <cfRule type="cellIs" dxfId="975" priority="36" operator="lessThan">
      <formula>$E$33</formula>
    </cfRule>
  </conditionalFormatting>
  <conditionalFormatting sqref="E33">
    <cfRule type="cellIs" dxfId="974" priority="35" operator="lessThan">
      <formula>$D$33</formula>
    </cfRule>
  </conditionalFormatting>
  <conditionalFormatting sqref="D34">
    <cfRule type="cellIs" dxfId="973" priority="34" operator="lessThan">
      <formula>$E$34</formula>
    </cfRule>
  </conditionalFormatting>
  <conditionalFormatting sqref="E34">
    <cfRule type="cellIs" dxfId="972" priority="33" operator="lessThan">
      <formula>$D$34</formula>
    </cfRule>
  </conditionalFormatting>
  <conditionalFormatting sqref="D35">
    <cfRule type="cellIs" dxfId="971" priority="32" operator="lessThan">
      <formula>$E$35</formula>
    </cfRule>
  </conditionalFormatting>
  <conditionalFormatting sqref="E35">
    <cfRule type="cellIs" dxfId="970" priority="31" operator="lessThan">
      <formula>$D$35</formula>
    </cfRule>
  </conditionalFormatting>
  <conditionalFormatting sqref="D36">
    <cfRule type="cellIs" dxfId="969" priority="30" operator="lessThan">
      <formula>$E$36</formula>
    </cfRule>
  </conditionalFormatting>
  <conditionalFormatting sqref="E36">
    <cfRule type="cellIs" dxfId="968" priority="29" operator="lessThan">
      <formula>$D$36</formula>
    </cfRule>
  </conditionalFormatting>
  <conditionalFormatting sqref="D37">
    <cfRule type="cellIs" dxfId="967" priority="28" operator="lessThan">
      <formula>$E$37</formula>
    </cfRule>
  </conditionalFormatting>
  <conditionalFormatting sqref="E37">
    <cfRule type="cellIs" dxfId="966" priority="27" operator="lessThan">
      <formula>$D$37</formula>
    </cfRule>
  </conditionalFormatting>
  <conditionalFormatting sqref="D38">
    <cfRule type="cellIs" dxfId="965" priority="26" operator="lessThan">
      <formula>$E$38</formula>
    </cfRule>
  </conditionalFormatting>
  <conditionalFormatting sqref="E38">
    <cfRule type="cellIs" dxfId="964" priority="25" operator="lessThan">
      <formula>$D$38</formula>
    </cfRule>
  </conditionalFormatting>
  <conditionalFormatting sqref="D39">
    <cfRule type="cellIs" dxfId="963" priority="24" operator="lessThan">
      <formula>$E$39</formula>
    </cfRule>
  </conditionalFormatting>
  <conditionalFormatting sqref="E39">
    <cfRule type="cellIs" dxfId="962" priority="23" operator="lessThan">
      <formula>$D$39</formula>
    </cfRule>
  </conditionalFormatting>
  <conditionalFormatting sqref="D40">
    <cfRule type="cellIs" dxfId="961" priority="22" operator="lessThan">
      <formula>$E$40</formula>
    </cfRule>
  </conditionalFormatting>
  <conditionalFormatting sqref="E40">
    <cfRule type="cellIs" dxfId="960" priority="21" operator="lessThan">
      <formula>$D$40</formula>
    </cfRule>
  </conditionalFormatting>
  <conditionalFormatting sqref="D41">
    <cfRule type="cellIs" dxfId="959" priority="20" operator="lessThan">
      <formula>$E$41</formula>
    </cfRule>
  </conditionalFormatting>
  <conditionalFormatting sqref="E41">
    <cfRule type="cellIs" dxfId="958" priority="19" operator="lessThan">
      <formula>$D$41</formula>
    </cfRule>
  </conditionalFormatting>
  <conditionalFormatting sqref="D42">
    <cfRule type="cellIs" dxfId="957" priority="18" operator="lessThan">
      <formula>$E$42</formula>
    </cfRule>
  </conditionalFormatting>
  <conditionalFormatting sqref="E42">
    <cfRule type="cellIs" dxfId="956" priority="17" operator="lessThan">
      <formula>$D$42</formula>
    </cfRule>
  </conditionalFormatting>
  <conditionalFormatting sqref="D43">
    <cfRule type="cellIs" dxfId="955" priority="16" operator="lessThan">
      <formula>$E$43</formula>
    </cfRule>
  </conditionalFormatting>
  <conditionalFormatting sqref="E43">
    <cfRule type="cellIs" dxfId="954" priority="15" operator="lessThan">
      <formula>$D$43</formula>
    </cfRule>
  </conditionalFormatting>
  <conditionalFormatting sqref="D44">
    <cfRule type="cellIs" dxfId="953" priority="14" operator="lessThan">
      <formula>$E$44</formula>
    </cfRule>
  </conditionalFormatting>
  <conditionalFormatting sqref="E44">
    <cfRule type="cellIs" dxfId="952" priority="13" operator="lessThan">
      <formula>$D$44</formula>
    </cfRule>
  </conditionalFormatting>
  <conditionalFormatting sqref="D45">
    <cfRule type="cellIs" dxfId="951" priority="12" operator="lessThan">
      <formula>$E$45</formula>
    </cfRule>
  </conditionalFormatting>
  <conditionalFormatting sqref="E45">
    <cfRule type="cellIs" dxfId="950" priority="11" operator="lessThan">
      <formula>$D$45</formula>
    </cfRule>
  </conditionalFormatting>
  <conditionalFormatting sqref="D46">
    <cfRule type="cellIs" dxfId="949" priority="10" operator="lessThan">
      <formula>$E$46</formula>
    </cfRule>
  </conditionalFormatting>
  <conditionalFormatting sqref="E46">
    <cfRule type="cellIs" dxfId="948" priority="9" operator="lessThan">
      <formula>$D$46</formula>
    </cfRule>
  </conditionalFormatting>
  <conditionalFormatting sqref="D47">
    <cfRule type="cellIs" dxfId="947" priority="8" operator="lessThan">
      <formula>$E$47</formula>
    </cfRule>
  </conditionalFormatting>
  <conditionalFormatting sqref="E47">
    <cfRule type="cellIs" dxfId="946" priority="7" operator="lessThan">
      <formula>$D$47</formula>
    </cfRule>
  </conditionalFormatting>
  <conditionalFormatting sqref="D48">
    <cfRule type="cellIs" dxfId="945" priority="6" operator="lessThan">
      <formula>$E$48</formula>
    </cfRule>
  </conditionalFormatting>
  <conditionalFormatting sqref="E48">
    <cfRule type="cellIs" dxfId="944" priority="5" operator="lessThan">
      <formula>$D$48</formula>
    </cfRule>
  </conditionalFormatting>
  <conditionalFormatting sqref="D49">
    <cfRule type="cellIs" dxfId="943" priority="4" operator="lessThan">
      <formula>$E$49</formula>
    </cfRule>
  </conditionalFormatting>
  <conditionalFormatting sqref="E49">
    <cfRule type="cellIs" dxfId="942" priority="3" operator="lessThan">
      <formula>$D$49</formula>
    </cfRule>
  </conditionalFormatting>
  <conditionalFormatting sqref="D50">
    <cfRule type="cellIs" dxfId="941" priority="2" operator="lessThan">
      <formula>$E$50</formula>
    </cfRule>
  </conditionalFormatting>
  <conditionalFormatting sqref="E50">
    <cfRule type="cellIs" dxfId="940" priority="1" operator="lessThan">
      <formula>$D$50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11" sqref="E11"/>
    </sheetView>
  </sheetViews>
  <sheetFormatPr baseColWidth="10" defaultRowHeight="15" x14ac:dyDescent="0.25"/>
  <sheetData>
    <row r="1" spans="1:18" x14ac:dyDescent="0.25">
      <c r="A1" s="1"/>
      <c r="B1" s="2">
        <f>AVERAGE(B4:B38)</f>
        <v>1.9309999999999998</v>
      </c>
      <c r="C1" s="2">
        <f>AVERAGE(C4:C30)</f>
        <v>1.7959999999999998</v>
      </c>
      <c r="D1" s="2">
        <f>AVERAGE(D4:D60)</f>
        <v>2.9899999999999998</v>
      </c>
      <c r="E1" s="2">
        <f>AVERAGE(E4:E60)</f>
        <v>3.19</v>
      </c>
      <c r="F1" s="1">
        <f>SUM(F4:F50)</f>
        <v>234.69399999999999</v>
      </c>
      <c r="G1" s="1">
        <f>D1-E1</f>
        <v>-0.20000000000000018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29.710320505437352</v>
      </c>
      <c r="H3" s="2">
        <f>L3/M3</f>
        <v>30.201211093421023</v>
      </c>
      <c r="I3" s="4">
        <f t="shared" ref="I3:R3" si="0">SUM(I4:I50)</f>
        <v>30.236966824644551</v>
      </c>
      <c r="J3" s="4">
        <f t="shared" si="0"/>
        <v>12.276966824644555</v>
      </c>
      <c r="K3" s="4">
        <f t="shared" si="0"/>
        <v>183.39989260663515</v>
      </c>
      <c r="L3" s="4">
        <f t="shared" si="0"/>
        <v>18339.989260663519</v>
      </c>
      <c r="M3" s="4">
        <f t="shared" si="0"/>
        <v>607.26006000000007</v>
      </c>
      <c r="N3" s="4">
        <f t="shared" si="0"/>
        <v>28.341232227488153</v>
      </c>
      <c r="O3" s="4">
        <f t="shared" si="0"/>
        <v>9.0312322274881556</v>
      </c>
      <c r="P3" s="4">
        <f t="shared" si="0"/>
        <v>177.62614000000008</v>
      </c>
      <c r="Q3" s="4">
        <f t="shared" si="0"/>
        <v>17762.614000000005</v>
      </c>
      <c r="R3" s="4">
        <f t="shared" si="0"/>
        <v>597.86005999999998</v>
      </c>
    </row>
    <row r="4" spans="1:18" x14ac:dyDescent="0.25">
      <c r="A4" t="s">
        <v>42</v>
      </c>
      <c r="B4">
        <v>1.77</v>
      </c>
      <c r="C4">
        <v>2.59</v>
      </c>
      <c r="D4">
        <v>3.49</v>
      </c>
      <c r="E4">
        <v>3.49</v>
      </c>
      <c r="F4">
        <v>30</v>
      </c>
      <c r="G4" s="1">
        <f>Q4/R4</f>
        <v>44.070397479596409</v>
      </c>
      <c r="H4" s="1">
        <f>L4/M4</f>
        <v>20.574695473865759</v>
      </c>
      <c r="I4">
        <f t="shared" ref="I4:I51" si="1">E4/1.055</f>
        <v>3.3080568720379149</v>
      </c>
      <c r="J4">
        <f t="shared" ref="J4:J51" si="2">I4-C4</f>
        <v>0.71805687203791502</v>
      </c>
      <c r="K4">
        <f t="shared" ref="K4:K51" si="3">J4*F4</f>
        <v>21.541706161137451</v>
      </c>
      <c r="L4">
        <f>K4*100</f>
        <v>2154.1706161137449</v>
      </c>
      <c r="M4">
        <f t="shared" ref="M4:M51" si="4">E4*F4</f>
        <v>104.7</v>
      </c>
      <c r="N4">
        <f>D4/1.055</f>
        <v>3.3080568720379149</v>
      </c>
      <c r="O4">
        <f>N4-B4</f>
        <v>1.5380568720379149</v>
      </c>
      <c r="P4">
        <f>O4*F4</f>
        <v>46.141706161137449</v>
      </c>
      <c r="Q4">
        <f>P4*100</f>
        <v>4614.1706161137445</v>
      </c>
      <c r="R4">
        <f>D4*F4</f>
        <v>104.7</v>
      </c>
    </row>
    <row r="5" spans="1:18" x14ac:dyDescent="0.25">
      <c r="A5" t="s">
        <v>43</v>
      </c>
      <c r="B5">
        <v>2.59</v>
      </c>
      <c r="C5">
        <v>1.6</v>
      </c>
      <c r="D5">
        <v>3.99</v>
      </c>
      <c r="E5">
        <v>4.99</v>
      </c>
      <c r="F5">
        <v>5</v>
      </c>
      <c r="G5" s="1">
        <f t="shared" ref="G5:G51" si="5">Q5/R5</f>
        <v>29.874449156065531</v>
      </c>
      <c r="H5" s="1">
        <f t="shared" ref="H5:H51" si="6">L5/M5</f>
        <v>62.722601601306877</v>
      </c>
      <c r="I5">
        <f t="shared" si="1"/>
        <v>4.7298578199052139</v>
      </c>
      <c r="J5">
        <f t="shared" si="2"/>
        <v>3.1298578199052138</v>
      </c>
      <c r="K5">
        <f t="shared" si="3"/>
        <v>15.649289099526069</v>
      </c>
      <c r="L5">
        <f t="shared" ref="L5:L51" si="7">K5*100</f>
        <v>1564.9289099526068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1.191990521327015</v>
      </c>
      <c r="P5">
        <f t="shared" ref="P5:P51" si="10">O5*F5</f>
        <v>5.959952606635075</v>
      </c>
      <c r="Q5">
        <f t="shared" ref="Q5:Q51" si="11">P5*100</f>
        <v>595.99526066350745</v>
      </c>
      <c r="R5">
        <f t="shared" ref="R5:R51" si="12">D5*F5</f>
        <v>19.950000000000003</v>
      </c>
    </row>
    <row r="6" spans="1:18" x14ac:dyDescent="0.25">
      <c r="A6" t="s">
        <v>26</v>
      </c>
      <c r="B6">
        <v>2.39</v>
      </c>
      <c r="C6">
        <v>1.39</v>
      </c>
      <c r="D6">
        <v>3.99</v>
      </c>
      <c r="E6">
        <v>4.99</v>
      </c>
      <c r="F6">
        <v>10</v>
      </c>
      <c r="G6" s="1">
        <f t="shared" si="5"/>
        <v>34.886980484386335</v>
      </c>
      <c r="H6" s="1">
        <f t="shared" si="6"/>
        <v>66.93101843497422</v>
      </c>
      <c r="I6">
        <f t="shared" si="1"/>
        <v>4.7298578199052139</v>
      </c>
      <c r="J6">
        <f t="shared" si="2"/>
        <v>3.3398578199052142</v>
      </c>
      <c r="K6">
        <f t="shared" si="3"/>
        <v>33.398578199052139</v>
      </c>
      <c r="L6">
        <f t="shared" si="7"/>
        <v>3339.857819905214</v>
      </c>
      <c r="M6">
        <f t="shared" si="4"/>
        <v>49.900000000000006</v>
      </c>
      <c r="N6">
        <f t="shared" si="8"/>
        <v>3.7819905213270149</v>
      </c>
      <c r="O6">
        <f t="shared" si="9"/>
        <v>1.3919905213270147</v>
      </c>
      <c r="P6">
        <f t="shared" si="10"/>
        <v>13.919905213270148</v>
      </c>
      <c r="Q6">
        <f t="shared" si="11"/>
        <v>1391.9905213270149</v>
      </c>
      <c r="R6">
        <f t="shared" si="12"/>
        <v>39.900000000000006</v>
      </c>
    </row>
    <row r="7" spans="1:18" x14ac:dyDescent="0.25">
      <c r="A7" t="s">
        <v>12</v>
      </c>
      <c r="B7">
        <v>1.99</v>
      </c>
      <c r="C7">
        <v>1.89</v>
      </c>
      <c r="D7">
        <v>3.49</v>
      </c>
      <c r="E7">
        <v>3.49</v>
      </c>
      <c r="F7">
        <v>10.337999999999999</v>
      </c>
      <c r="G7" s="1">
        <f t="shared" si="5"/>
        <v>37.766672551229654</v>
      </c>
      <c r="H7" s="1">
        <f t="shared" si="6"/>
        <v>40.63200206412364</v>
      </c>
      <c r="I7">
        <f t="shared" si="1"/>
        <v>3.3080568720379149</v>
      </c>
      <c r="J7">
        <f t="shared" si="2"/>
        <v>1.418056872037915</v>
      </c>
      <c r="K7">
        <f t="shared" si="3"/>
        <v>14.659871943127964</v>
      </c>
      <c r="L7">
        <f t="shared" si="7"/>
        <v>1465.9871943127964</v>
      </c>
      <c r="M7">
        <f t="shared" si="4"/>
        <v>36.079619999999998</v>
      </c>
      <c r="N7">
        <f t="shared" si="8"/>
        <v>3.3080568720379149</v>
      </c>
      <c r="O7">
        <f t="shared" si="9"/>
        <v>1.3180568720379149</v>
      </c>
      <c r="P7">
        <f t="shared" si="10"/>
        <v>13.626071943127963</v>
      </c>
      <c r="Q7">
        <f t="shared" si="11"/>
        <v>1362.6071943127963</v>
      </c>
      <c r="R7">
        <f t="shared" si="12"/>
        <v>36.079619999999998</v>
      </c>
    </row>
    <row r="8" spans="1:18" x14ac:dyDescent="0.25">
      <c r="A8" t="s">
        <v>72</v>
      </c>
      <c r="B8">
        <v>1.45</v>
      </c>
      <c r="C8">
        <v>1.4</v>
      </c>
      <c r="D8">
        <v>1.89</v>
      </c>
      <c r="E8">
        <v>1.99</v>
      </c>
      <c r="F8">
        <v>36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17.505213270142189</v>
      </c>
      <c r="L8">
        <f t="shared" si="7"/>
        <v>1750.521327014219</v>
      </c>
      <c r="M8">
        <f t="shared" si="4"/>
        <v>71.64</v>
      </c>
      <c r="N8">
        <f t="shared" si="8"/>
        <v>1.7914691943127963</v>
      </c>
      <c r="O8">
        <f t="shared" si="9"/>
        <v>0.34146919431279632</v>
      </c>
      <c r="P8">
        <f t="shared" si="10"/>
        <v>12.292890995260667</v>
      </c>
      <c r="Q8">
        <f t="shared" si="11"/>
        <v>1229.2890995260666</v>
      </c>
      <c r="R8">
        <f t="shared" si="12"/>
        <v>68.039999999999992</v>
      </c>
    </row>
    <row r="9" spans="1:18" x14ac:dyDescent="0.25">
      <c r="A9" t="s">
        <v>15</v>
      </c>
      <c r="B9">
        <v>1.28</v>
      </c>
      <c r="C9">
        <v>1.4</v>
      </c>
      <c r="D9">
        <v>1.99</v>
      </c>
      <c r="E9">
        <v>1.99</v>
      </c>
      <c r="F9">
        <v>36</v>
      </c>
      <c r="G9" s="1">
        <f t="shared" si="5"/>
        <v>30.465121817618908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17.505213270142189</v>
      </c>
      <c r="L9">
        <f t="shared" si="7"/>
        <v>1750.521327014219</v>
      </c>
      <c r="M9">
        <f t="shared" si="4"/>
        <v>71.64</v>
      </c>
      <c r="N9">
        <f t="shared" si="8"/>
        <v>1.8862559241706163</v>
      </c>
      <c r="O9">
        <f t="shared" si="9"/>
        <v>0.60625592417061624</v>
      </c>
      <c r="P9">
        <f t="shared" si="10"/>
        <v>21.825213270142186</v>
      </c>
      <c r="Q9">
        <f t="shared" si="11"/>
        <v>2182.5213270142185</v>
      </c>
      <c r="R9">
        <f t="shared" si="12"/>
        <v>71.64</v>
      </c>
    </row>
    <row r="10" spans="1:18" x14ac:dyDescent="0.25">
      <c r="A10" t="s">
        <v>67</v>
      </c>
      <c r="B10">
        <v>2.79</v>
      </c>
      <c r="C10">
        <v>2.79</v>
      </c>
      <c r="D10">
        <v>3.99</v>
      </c>
      <c r="E10">
        <v>3.99</v>
      </c>
      <c r="F10">
        <v>13.356</v>
      </c>
      <c r="G10" s="1">
        <f t="shared" si="5"/>
        <v>24.861917827744733</v>
      </c>
      <c r="H10" s="1">
        <f t="shared" si="6"/>
        <v>24.861917827744733</v>
      </c>
      <c r="I10">
        <f t="shared" si="1"/>
        <v>3.7819905213270149</v>
      </c>
      <c r="J10">
        <f t="shared" si="2"/>
        <v>0.99199052132701482</v>
      </c>
      <c r="K10">
        <f t="shared" si="3"/>
        <v>13.249025402843611</v>
      </c>
      <c r="L10">
        <f t="shared" si="7"/>
        <v>1324.9025402843611</v>
      </c>
      <c r="M10">
        <f t="shared" si="4"/>
        <v>53.290440000000004</v>
      </c>
      <c r="N10">
        <f t="shared" si="8"/>
        <v>3.7819905213270149</v>
      </c>
      <c r="O10">
        <f t="shared" si="9"/>
        <v>0.99199052132701482</v>
      </c>
      <c r="P10">
        <f t="shared" si="10"/>
        <v>13.249025402843611</v>
      </c>
      <c r="Q10">
        <f t="shared" si="11"/>
        <v>1324.9025402843611</v>
      </c>
      <c r="R10">
        <f t="shared" si="12"/>
        <v>53.290440000000004</v>
      </c>
    </row>
    <row r="11" spans="1:18" x14ac:dyDescent="0.25">
      <c r="A11" t="s">
        <v>81</v>
      </c>
      <c r="B11">
        <v>1.45</v>
      </c>
      <c r="C11">
        <v>1.4</v>
      </c>
      <c r="D11">
        <v>1.89</v>
      </c>
      <c r="E11">
        <v>1.99</v>
      </c>
      <c r="F11">
        <v>12</v>
      </c>
      <c r="G11" s="1">
        <f t="shared" si="5"/>
        <v>18.067153138243192</v>
      </c>
      <c r="H11" s="1">
        <f t="shared" si="6"/>
        <v>24.434971063850067</v>
      </c>
      <c r="I11">
        <f t="shared" si="1"/>
        <v>1.8862559241706163</v>
      </c>
      <c r="J11">
        <f t="shared" si="2"/>
        <v>0.48625592417061636</v>
      </c>
      <c r="K11">
        <f t="shared" si="3"/>
        <v>5.8350710900473963</v>
      </c>
      <c r="L11">
        <f t="shared" si="7"/>
        <v>583.50710900473962</v>
      </c>
      <c r="M11">
        <f t="shared" si="4"/>
        <v>23.88</v>
      </c>
      <c r="N11">
        <f t="shared" si="8"/>
        <v>1.7914691943127963</v>
      </c>
      <c r="O11">
        <f t="shared" si="9"/>
        <v>0.34146919431279632</v>
      </c>
      <c r="P11">
        <f t="shared" si="10"/>
        <v>4.0976303317535558</v>
      </c>
      <c r="Q11">
        <f t="shared" si="11"/>
        <v>409.76303317535559</v>
      </c>
      <c r="R11">
        <f t="shared" si="12"/>
        <v>22.68</v>
      </c>
    </row>
    <row r="12" spans="1:18" x14ac:dyDescent="0.25">
      <c r="A12" t="s">
        <v>98</v>
      </c>
      <c r="B12">
        <v>0.8</v>
      </c>
      <c r="C12">
        <v>0.6</v>
      </c>
      <c r="D12">
        <v>1.19</v>
      </c>
      <c r="E12">
        <v>0.99</v>
      </c>
      <c r="F12">
        <v>52</v>
      </c>
      <c r="G12" s="1">
        <f t="shared" si="5"/>
        <v>27.55983910151739</v>
      </c>
      <c r="H12" s="1">
        <f t="shared" si="6"/>
        <v>34.180669251759305</v>
      </c>
      <c r="I12">
        <f t="shared" si="1"/>
        <v>0.93838862559241709</v>
      </c>
      <c r="J12">
        <f t="shared" si="2"/>
        <v>0.33838862559241711</v>
      </c>
      <c r="K12">
        <f t="shared" si="3"/>
        <v>17.59620853080569</v>
      </c>
      <c r="L12">
        <f t="shared" si="7"/>
        <v>1759.6208530805691</v>
      </c>
      <c r="M12">
        <f t="shared" si="4"/>
        <v>51.48</v>
      </c>
      <c r="N12">
        <f t="shared" si="8"/>
        <v>1.127962085308057</v>
      </c>
      <c r="O12">
        <f t="shared" si="9"/>
        <v>0.32796208530805693</v>
      </c>
      <c r="P12">
        <f t="shared" si="10"/>
        <v>17.05402843601896</v>
      </c>
      <c r="Q12">
        <f t="shared" si="11"/>
        <v>1705.4028436018959</v>
      </c>
      <c r="R12">
        <f t="shared" si="12"/>
        <v>61.879999999999995</v>
      </c>
    </row>
    <row r="13" spans="1:18" x14ac:dyDescent="0.25">
      <c r="A13" t="s">
        <v>25</v>
      </c>
      <c r="B13">
        <v>2.8</v>
      </c>
      <c r="C13">
        <v>2.9</v>
      </c>
      <c r="D13">
        <v>3.99</v>
      </c>
      <c r="E13">
        <v>3.99</v>
      </c>
      <c r="F13">
        <v>30</v>
      </c>
      <c r="G13" s="1">
        <f t="shared" si="5"/>
        <v>24.611291261328699</v>
      </c>
      <c r="H13" s="1">
        <f t="shared" si="6"/>
        <v>22.105025597168293</v>
      </c>
      <c r="I13">
        <f t="shared" si="1"/>
        <v>3.7819905213270149</v>
      </c>
      <c r="J13">
        <f t="shared" si="2"/>
        <v>0.88199052132701494</v>
      </c>
      <c r="K13">
        <f t="shared" si="3"/>
        <v>26.459715639810447</v>
      </c>
      <c r="L13">
        <f t="shared" si="7"/>
        <v>2645.9715639810447</v>
      </c>
      <c r="M13">
        <f t="shared" si="4"/>
        <v>119.7</v>
      </c>
      <c r="N13">
        <f t="shared" si="8"/>
        <v>3.7819905213270149</v>
      </c>
      <c r="O13">
        <f t="shared" si="9"/>
        <v>0.98199052132701503</v>
      </c>
      <c r="P13">
        <f t="shared" si="10"/>
        <v>29.459715639810451</v>
      </c>
      <c r="Q13">
        <f t="shared" si="11"/>
        <v>2945.9715639810452</v>
      </c>
      <c r="R13">
        <f t="shared" si="12"/>
        <v>119.7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939" priority="188" operator="lessThan">
      <formula>$C$4</formula>
    </cfRule>
  </conditionalFormatting>
  <conditionalFormatting sqref="C4">
    <cfRule type="cellIs" dxfId="938" priority="187" operator="lessThan">
      <formula>$B$4</formula>
    </cfRule>
  </conditionalFormatting>
  <conditionalFormatting sqref="B5">
    <cfRule type="cellIs" dxfId="937" priority="186" operator="lessThan">
      <formula>$C$5</formula>
    </cfRule>
  </conditionalFormatting>
  <conditionalFormatting sqref="C5">
    <cfRule type="cellIs" dxfId="936" priority="185" operator="lessThan">
      <formula>$B$5</formula>
    </cfRule>
  </conditionalFormatting>
  <conditionalFormatting sqref="B6">
    <cfRule type="cellIs" dxfId="935" priority="184" operator="lessThan">
      <formula>$C$6</formula>
    </cfRule>
  </conditionalFormatting>
  <conditionalFormatting sqref="C6">
    <cfRule type="cellIs" dxfId="934" priority="183" operator="lessThan">
      <formula>$B$6</formula>
    </cfRule>
  </conditionalFormatting>
  <conditionalFormatting sqref="B7">
    <cfRule type="cellIs" dxfId="933" priority="182" operator="lessThan">
      <formula>$C$7</formula>
    </cfRule>
  </conditionalFormatting>
  <conditionalFormatting sqref="C7">
    <cfRule type="cellIs" dxfId="932" priority="181" operator="lessThan">
      <formula>$B$7</formula>
    </cfRule>
  </conditionalFormatting>
  <conditionalFormatting sqref="B8">
    <cfRule type="cellIs" dxfId="931" priority="180" operator="lessThan">
      <formula>$C$8</formula>
    </cfRule>
  </conditionalFormatting>
  <conditionalFormatting sqref="C8">
    <cfRule type="cellIs" dxfId="930" priority="179" operator="lessThan">
      <formula>$B$8</formula>
    </cfRule>
  </conditionalFormatting>
  <conditionalFormatting sqref="B9">
    <cfRule type="cellIs" dxfId="929" priority="178" operator="lessThan">
      <formula>$C$9</formula>
    </cfRule>
  </conditionalFormatting>
  <conditionalFormatting sqref="C9">
    <cfRule type="cellIs" dxfId="928" priority="177" operator="lessThan">
      <formula>$B$9</formula>
    </cfRule>
  </conditionalFormatting>
  <conditionalFormatting sqref="B10">
    <cfRule type="cellIs" dxfId="927" priority="176" operator="lessThan">
      <formula>$C$10</formula>
    </cfRule>
  </conditionalFormatting>
  <conditionalFormatting sqref="C10">
    <cfRule type="cellIs" dxfId="926" priority="175" operator="lessThan">
      <formula>$B$10</formula>
    </cfRule>
  </conditionalFormatting>
  <conditionalFormatting sqref="B11">
    <cfRule type="cellIs" dxfId="925" priority="174" operator="lessThan">
      <formula>$C$11</formula>
    </cfRule>
  </conditionalFormatting>
  <conditionalFormatting sqref="C11">
    <cfRule type="cellIs" dxfId="924" priority="173" operator="lessThan">
      <formula>$B$11</formula>
    </cfRule>
  </conditionalFormatting>
  <conditionalFormatting sqref="B12">
    <cfRule type="cellIs" dxfId="923" priority="172" operator="lessThan">
      <formula>$C$12</formula>
    </cfRule>
  </conditionalFormatting>
  <conditionalFormatting sqref="C12">
    <cfRule type="cellIs" dxfId="922" priority="171" operator="lessThan">
      <formula>$B$12</formula>
    </cfRule>
  </conditionalFormatting>
  <conditionalFormatting sqref="B13">
    <cfRule type="cellIs" dxfId="921" priority="170" operator="lessThan">
      <formula>$C$13</formula>
    </cfRule>
  </conditionalFormatting>
  <conditionalFormatting sqref="C13">
    <cfRule type="cellIs" dxfId="920" priority="169" operator="lessThan">
      <formula>$B$13</formula>
    </cfRule>
  </conditionalFormatting>
  <conditionalFormatting sqref="B14">
    <cfRule type="cellIs" dxfId="919" priority="168" operator="lessThan">
      <formula>$C$14</formula>
    </cfRule>
  </conditionalFormatting>
  <conditionalFormatting sqref="C14">
    <cfRule type="cellIs" dxfId="918" priority="167" operator="lessThan">
      <formula>$B$14</formula>
    </cfRule>
  </conditionalFormatting>
  <conditionalFormatting sqref="B15">
    <cfRule type="cellIs" dxfId="917" priority="166" operator="lessThan">
      <formula>$C$15</formula>
    </cfRule>
  </conditionalFormatting>
  <conditionalFormatting sqref="C15">
    <cfRule type="cellIs" dxfId="916" priority="165" operator="lessThan">
      <formula>$B$15</formula>
    </cfRule>
  </conditionalFormatting>
  <conditionalFormatting sqref="B16">
    <cfRule type="cellIs" dxfId="915" priority="164" operator="lessThan">
      <formula>$C$16</formula>
    </cfRule>
  </conditionalFormatting>
  <conditionalFormatting sqref="C16">
    <cfRule type="cellIs" dxfId="914" priority="163" operator="lessThan">
      <formula>$B$16</formula>
    </cfRule>
  </conditionalFormatting>
  <conditionalFormatting sqref="B17">
    <cfRule type="cellIs" dxfId="913" priority="162" operator="lessThan">
      <formula>$C$17</formula>
    </cfRule>
  </conditionalFormatting>
  <conditionalFormatting sqref="C17">
    <cfRule type="cellIs" dxfId="912" priority="161" operator="lessThan">
      <formula>$B$17</formula>
    </cfRule>
  </conditionalFormatting>
  <conditionalFormatting sqref="B18">
    <cfRule type="cellIs" dxfId="911" priority="160" operator="lessThan">
      <formula>$C$18</formula>
    </cfRule>
  </conditionalFormatting>
  <conditionalFormatting sqref="C18">
    <cfRule type="cellIs" dxfId="910" priority="159" operator="lessThan">
      <formula>$B$18</formula>
    </cfRule>
  </conditionalFormatting>
  <conditionalFormatting sqref="C19">
    <cfRule type="cellIs" dxfId="909" priority="158" operator="lessThan">
      <formula>$B$19</formula>
    </cfRule>
  </conditionalFormatting>
  <conditionalFormatting sqref="B19">
    <cfRule type="cellIs" dxfId="908" priority="157" operator="lessThan">
      <formula>$C$19</formula>
    </cfRule>
  </conditionalFormatting>
  <conditionalFormatting sqref="B20">
    <cfRule type="cellIs" dxfId="907" priority="156" operator="lessThan">
      <formula>$C$20</formula>
    </cfRule>
  </conditionalFormatting>
  <conditionalFormatting sqref="C20">
    <cfRule type="cellIs" dxfId="906" priority="155" operator="lessThan">
      <formula>$B$20</formula>
    </cfRule>
  </conditionalFormatting>
  <conditionalFormatting sqref="B21">
    <cfRule type="cellIs" dxfId="905" priority="154" operator="lessThan">
      <formula>$C$21</formula>
    </cfRule>
  </conditionalFormatting>
  <conditionalFormatting sqref="C21">
    <cfRule type="cellIs" dxfId="904" priority="153" operator="lessThan">
      <formula>$B$21</formula>
    </cfRule>
  </conditionalFormatting>
  <conditionalFormatting sqref="B22">
    <cfRule type="cellIs" dxfId="903" priority="152" operator="lessThan">
      <formula>$C$22</formula>
    </cfRule>
  </conditionalFormatting>
  <conditionalFormatting sqref="C22">
    <cfRule type="cellIs" dxfId="902" priority="151" operator="lessThan">
      <formula>$B$22</formula>
    </cfRule>
  </conditionalFormatting>
  <conditionalFormatting sqref="B23">
    <cfRule type="cellIs" dxfId="901" priority="150" operator="lessThan">
      <formula>$C$23</formula>
    </cfRule>
  </conditionalFormatting>
  <conditionalFormatting sqref="C23">
    <cfRule type="cellIs" dxfId="900" priority="149" operator="lessThan">
      <formula>$B$23</formula>
    </cfRule>
  </conditionalFormatting>
  <conditionalFormatting sqref="B24">
    <cfRule type="cellIs" dxfId="899" priority="148" operator="lessThan">
      <formula>$C$24</formula>
    </cfRule>
  </conditionalFormatting>
  <conditionalFormatting sqref="C24">
    <cfRule type="cellIs" dxfId="898" priority="147" operator="lessThan">
      <formula>$B$24</formula>
    </cfRule>
  </conditionalFormatting>
  <conditionalFormatting sqref="B25">
    <cfRule type="cellIs" dxfId="897" priority="146" operator="lessThan">
      <formula>$C$25</formula>
    </cfRule>
  </conditionalFormatting>
  <conditionalFormatting sqref="C25">
    <cfRule type="cellIs" dxfId="896" priority="145" operator="lessThan">
      <formula>$B$25</formula>
    </cfRule>
  </conditionalFormatting>
  <conditionalFormatting sqref="B26">
    <cfRule type="cellIs" dxfId="895" priority="144" operator="lessThan">
      <formula>$C$26</formula>
    </cfRule>
  </conditionalFormatting>
  <conditionalFormatting sqref="C26">
    <cfRule type="cellIs" dxfId="894" priority="143" operator="lessThan">
      <formula>$B$26</formula>
    </cfRule>
  </conditionalFormatting>
  <conditionalFormatting sqref="B27">
    <cfRule type="cellIs" dxfId="893" priority="142" operator="lessThan">
      <formula>$C$27</formula>
    </cfRule>
  </conditionalFormatting>
  <conditionalFormatting sqref="C27">
    <cfRule type="cellIs" dxfId="892" priority="141" operator="lessThan">
      <formula>$B$27</formula>
    </cfRule>
  </conditionalFormatting>
  <conditionalFormatting sqref="B28">
    <cfRule type="cellIs" dxfId="891" priority="140" operator="lessThan">
      <formula>$C$28</formula>
    </cfRule>
  </conditionalFormatting>
  <conditionalFormatting sqref="C28">
    <cfRule type="cellIs" dxfId="890" priority="139" operator="lessThan">
      <formula>$B$28</formula>
    </cfRule>
  </conditionalFormatting>
  <conditionalFormatting sqref="B29">
    <cfRule type="cellIs" dxfId="889" priority="138" operator="lessThan">
      <formula>$C$29</formula>
    </cfRule>
  </conditionalFormatting>
  <conditionalFormatting sqref="C29">
    <cfRule type="cellIs" dxfId="888" priority="137" operator="lessThan">
      <formula>$B$29</formula>
    </cfRule>
  </conditionalFormatting>
  <conditionalFormatting sqref="B30">
    <cfRule type="cellIs" dxfId="887" priority="136" operator="lessThan">
      <formula>$C$30</formula>
    </cfRule>
  </conditionalFormatting>
  <conditionalFormatting sqref="C30">
    <cfRule type="cellIs" dxfId="886" priority="135" operator="lessThan">
      <formula>$B$30</formula>
    </cfRule>
  </conditionalFormatting>
  <conditionalFormatting sqref="B31">
    <cfRule type="cellIs" dxfId="885" priority="134" operator="lessThan">
      <formula>$C$31</formula>
    </cfRule>
  </conditionalFormatting>
  <conditionalFormatting sqref="C31">
    <cfRule type="cellIs" dxfId="884" priority="133" operator="lessThan">
      <formula>$B$31</formula>
    </cfRule>
  </conditionalFormatting>
  <conditionalFormatting sqref="B32">
    <cfRule type="cellIs" dxfId="883" priority="132" operator="lessThan">
      <formula>$C$32</formula>
    </cfRule>
  </conditionalFormatting>
  <conditionalFormatting sqref="C32">
    <cfRule type="cellIs" dxfId="882" priority="131" operator="lessThan">
      <formula>$B$32</formula>
    </cfRule>
  </conditionalFormatting>
  <conditionalFormatting sqref="B33">
    <cfRule type="cellIs" dxfId="881" priority="130" operator="lessThan">
      <formula>$C$33</formula>
    </cfRule>
  </conditionalFormatting>
  <conditionalFormatting sqref="C33">
    <cfRule type="cellIs" dxfId="880" priority="129" operator="lessThan">
      <formula>$B$33</formula>
    </cfRule>
  </conditionalFormatting>
  <conditionalFormatting sqref="B34">
    <cfRule type="cellIs" dxfId="879" priority="128" operator="lessThan">
      <formula>$C$34</formula>
    </cfRule>
  </conditionalFormatting>
  <conditionalFormatting sqref="C34">
    <cfRule type="cellIs" dxfId="878" priority="127" operator="lessThan">
      <formula>$B$34</formula>
    </cfRule>
  </conditionalFormatting>
  <conditionalFormatting sqref="B35">
    <cfRule type="cellIs" dxfId="877" priority="126" operator="lessThan">
      <formula>$C$35</formula>
    </cfRule>
  </conditionalFormatting>
  <conditionalFormatting sqref="C35">
    <cfRule type="cellIs" dxfId="876" priority="125" operator="lessThan">
      <formula>$B$35</formula>
    </cfRule>
  </conditionalFormatting>
  <conditionalFormatting sqref="B36">
    <cfRule type="cellIs" dxfId="875" priority="124" operator="lessThan">
      <formula>$C$36</formula>
    </cfRule>
  </conditionalFormatting>
  <conditionalFormatting sqref="C36">
    <cfRule type="cellIs" dxfId="874" priority="123" operator="lessThan">
      <formula>$B$36</formula>
    </cfRule>
  </conditionalFormatting>
  <conditionalFormatting sqref="B37">
    <cfRule type="cellIs" dxfId="873" priority="122" operator="lessThan">
      <formula>$C$37</formula>
    </cfRule>
  </conditionalFormatting>
  <conditionalFormatting sqref="C37">
    <cfRule type="cellIs" dxfId="872" priority="121" operator="lessThan">
      <formula>$B$37</formula>
    </cfRule>
  </conditionalFormatting>
  <conditionalFormatting sqref="B38">
    <cfRule type="cellIs" dxfId="871" priority="120" operator="lessThan">
      <formula>$C$38</formula>
    </cfRule>
  </conditionalFormatting>
  <conditionalFormatting sqref="C38">
    <cfRule type="cellIs" dxfId="870" priority="119" operator="lessThan">
      <formula>$B$38</formula>
    </cfRule>
  </conditionalFormatting>
  <conditionalFormatting sqref="B39">
    <cfRule type="cellIs" dxfId="869" priority="118" operator="lessThan">
      <formula>$C$39</formula>
    </cfRule>
  </conditionalFormatting>
  <conditionalFormatting sqref="C39">
    <cfRule type="cellIs" dxfId="868" priority="117" operator="lessThan">
      <formula>$B$39</formula>
    </cfRule>
  </conditionalFormatting>
  <conditionalFormatting sqref="B40">
    <cfRule type="cellIs" dxfId="867" priority="116" operator="lessThan">
      <formula>$C$40</formula>
    </cfRule>
  </conditionalFormatting>
  <conditionalFormatting sqref="C40">
    <cfRule type="cellIs" dxfId="866" priority="115" operator="lessThan">
      <formula>$B$40</formula>
    </cfRule>
  </conditionalFormatting>
  <conditionalFormatting sqref="B41">
    <cfRule type="cellIs" dxfId="865" priority="114" operator="lessThan">
      <formula>$C$41</formula>
    </cfRule>
  </conditionalFormatting>
  <conditionalFormatting sqref="C41">
    <cfRule type="cellIs" dxfId="864" priority="113" operator="lessThan">
      <formula>$B$41</formula>
    </cfRule>
  </conditionalFormatting>
  <conditionalFormatting sqref="B42">
    <cfRule type="cellIs" dxfId="863" priority="112" operator="lessThan">
      <formula>$C$42</formula>
    </cfRule>
  </conditionalFormatting>
  <conditionalFormatting sqref="C42">
    <cfRule type="cellIs" dxfId="862" priority="111" operator="lessThan">
      <formula>$B$42</formula>
    </cfRule>
  </conditionalFormatting>
  <conditionalFormatting sqref="B43">
    <cfRule type="cellIs" dxfId="861" priority="110" operator="lessThan">
      <formula>$C$43</formula>
    </cfRule>
  </conditionalFormatting>
  <conditionalFormatting sqref="C43">
    <cfRule type="cellIs" dxfId="860" priority="109" operator="lessThan">
      <formula>$B$43</formula>
    </cfRule>
  </conditionalFormatting>
  <conditionalFormatting sqref="B44">
    <cfRule type="cellIs" dxfId="859" priority="108" operator="lessThan">
      <formula>$C$44</formula>
    </cfRule>
  </conditionalFormatting>
  <conditionalFormatting sqref="C44">
    <cfRule type="cellIs" dxfId="858" priority="107" operator="lessThan">
      <formula>$B$44</formula>
    </cfRule>
  </conditionalFormatting>
  <conditionalFormatting sqref="B45">
    <cfRule type="cellIs" dxfId="857" priority="106" operator="lessThan">
      <formula>$C$45</formula>
    </cfRule>
  </conditionalFormatting>
  <conditionalFormatting sqref="C45">
    <cfRule type="cellIs" dxfId="856" priority="105" operator="lessThan">
      <formula>$B$45</formula>
    </cfRule>
  </conditionalFormatting>
  <conditionalFormatting sqref="B46">
    <cfRule type="cellIs" dxfId="855" priority="104" operator="lessThan">
      <formula>$C$46</formula>
    </cfRule>
  </conditionalFormatting>
  <conditionalFormatting sqref="C46">
    <cfRule type="cellIs" dxfId="854" priority="103" operator="lessThan">
      <formula>$B$46</formula>
    </cfRule>
  </conditionalFormatting>
  <conditionalFormatting sqref="B47">
    <cfRule type="cellIs" dxfId="853" priority="102" operator="lessThan">
      <formula>$C$47</formula>
    </cfRule>
  </conditionalFormatting>
  <conditionalFormatting sqref="C47">
    <cfRule type="cellIs" dxfId="852" priority="101" operator="lessThan">
      <formula>$B$47</formula>
    </cfRule>
  </conditionalFormatting>
  <conditionalFormatting sqref="B48">
    <cfRule type="cellIs" dxfId="851" priority="100" operator="lessThan">
      <formula>$C$48</formula>
    </cfRule>
  </conditionalFormatting>
  <conditionalFormatting sqref="C48">
    <cfRule type="cellIs" dxfId="850" priority="99" operator="lessThan">
      <formula>$B$48</formula>
    </cfRule>
  </conditionalFormatting>
  <conditionalFormatting sqref="B49">
    <cfRule type="cellIs" dxfId="849" priority="98" operator="lessThan">
      <formula>$C$49</formula>
    </cfRule>
  </conditionalFormatting>
  <conditionalFormatting sqref="C49">
    <cfRule type="cellIs" dxfId="848" priority="97" operator="lessThan">
      <formula>$B$49</formula>
    </cfRule>
  </conditionalFormatting>
  <conditionalFormatting sqref="B50">
    <cfRule type="cellIs" dxfId="847" priority="96" operator="lessThan">
      <formula>$C$50</formula>
    </cfRule>
  </conditionalFormatting>
  <conditionalFormatting sqref="C50">
    <cfRule type="cellIs" dxfId="846" priority="95" operator="lessThan">
      <formula>$B$50</formula>
    </cfRule>
  </conditionalFormatting>
  <conditionalFormatting sqref="D4">
    <cfRule type="cellIs" dxfId="845" priority="94" operator="lessThan">
      <formula>$E$4</formula>
    </cfRule>
  </conditionalFormatting>
  <conditionalFormatting sqref="E4">
    <cfRule type="cellIs" dxfId="844" priority="93" operator="lessThan">
      <formula>$D$4</formula>
    </cfRule>
  </conditionalFormatting>
  <conditionalFormatting sqref="D5">
    <cfRule type="cellIs" dxfId="843" priority="92" operator="lessThan">
      <formula>$E$5</formula>
    </cfRule>
  </conditionalFormatting>
  <conditionalFormatting sqref="E5">
    <cfRule type="cellIs" dxfId="842" priority="91" operator="lessThan">
      <formula>$D$5</formula>
    </cfRule>
  </conditionalFormatting>
  <conditionalFormatting sqref="D6">
    <cfRule type="cellIs" dxfId="841" priority="90" operator="lessThan">
      <formula>$E$6</formula>
    </cfRule>
  </conditionalFormatting>
  <conditionalFormatting sqref="E6">
    <cfRule type="cellIs" dxfId="840" priority="89" operator="lessThan">
      <formula>$D$6</formula>
    </cfRule>
  </conditionalFormatting>
  <conditionalFormatting sqref="D7">
    <cfRule type="cellIs" dxfId="839" priority="88" operator="lessThan">
      <formula>$E$7</formula>
    </cfRule>
  </conditionalFormatting>
  <conditionalFormatting sqref="E7">
    <cfRule type="cellIs" dxfId="838" priority="87" operator="lessThan">
      <formula>$D$7</formula>
    </cfRule>
  </conditionalFormatting>
  <conditionalFormatting sqref="D8">
    <cfRule type="cellIs" dxfId="837" priority="86" operator="lessThan">
      <formula>$E$8</formula>
    </cfRule>
  </conditionalFormatting>
  <conditionalFormatting sqref="E8">
    <cfRule type="cellIs" dxfId="836" priority="85" operator="lessThan">
      <formula>$D$8</formula>
    </cfRule>
  </conditionalFormatting>
  <conditionalFormatting sqref="D9">
    <cfRule type="cellIs" dxfId="835" priority="84" operator="lessThan">
      <formula>$E$9</formula>
    </cfRule>
  </conditionalFormatting>
  <conditionalFormatting sqref="E9">
    <cfRule type="cellIs" dxfId="834" priority="83" operator="lessThan">
      <formula>$D$9</formula>
    </cfRule>
  </conditionalFormatting>
  <conditionalFormatting sqref="D10">
    <cfRule type="cellIs" dxfId="833" priority="82" operator="lessThan">
      <formula>$E$10</formula>
    </cfRule>
  </conditionalFormatting>
  <conditionalFormatting sqref="E10">
    <cfRule type="cellIs" dxfId="832" priority="81" operator="lessThan">
      <formula>$D$10</formula>
    </cfRule>
  </conditionalFormatting>
  <conditionalFormatting sqref="D11">
    <cfRule type="cellIs" dxfId="831" priority="80" operator="lessThan">
      <formula>$E$11</formula>
    </cfRule>
  </conditionalFormatting>
  <conditionalFormatting sqref="E11">
    <cfRule type="cellIs" dxfId="830" priority="79" operator="lessThan">
      <formula>$D$11</formula>
    </cfRule>
  </conditionalFormatting>
  <conditionalFormatting sqref="D12">
    <cfRule type="cellIs" dxfId="829" priority="78" operator="lessThan">
      <formula>$E$12</formula>
    </cfRule>
  </conditionalFormatting>
  <conditionalFormatting sqref="E12">
    <cfRule type="cellIs" dxfId="828" priority="77" operator="lessThan">
      <formula>$D$12</formula>
    </cfRule>
  </conditionalFormatting>
  <conditionalFormatting sqref="D13">
    <cfRule type="cellIs" dxfId="827" priority="76" operator="lessThan">
      <formula>$E$13</formula>
    </cfRule>
  </conditionalFormatting>
  <conditionalFormatting sqref="E13">
    <cfRule type="cellIs" dxfId="826" priority="75" operator="lessThan">
      <formula>$D$13</formula>
    </cfRule>
  </conditionalFormatting>
  <conditionalFormatting sqref="D14">
    <cfRule type="cellIs" dxfId="825" priority="74" operator="lessThan">
      <formula>$E$14</formula>
    </cfRule>
  </conditionalFormatting>
  <conditionalFormatting sqref="E14">
    <cfRule type="cellIs" dxfId="824" priority="73" operator="lessThan">
      <formula>$D$14</formula>
    </cfRule>
  </conditionalFormatting>
  <conditionalFormatting sqref="D15">
    <cfRule type="cellIs" dxfId="823" priority="72" operator="lessThan">
      <formula>$E$15</formula>
    </cfRule>
  </conditionalFormatting>
  <conditionalFormatting sqref="E15">
    <cfRule type="cellIs" dxfId="822" priority="71" operator="lessThan">
      <formula>$D$15</formula>
    </cfRule>
  </conditionalFormatting>
  <conditionalFormatting sqref="D16">
    <cfRule type="cellIs" dxfId="821" priority="70" operator="lessThan">
      <formula>$E$16</formula>
    </cfRule>
  </conditionalFormatting>
  <conditionalFormatting sqref="E16">
    <cfRule type="cellIs" dxfId="820" priority="69" operator="lessThan">
      <formula>$D$16</formula>
    </cfRule>
  </conditionalFormatting>
  <conditionalFormatting sqref="D17">
    <cfRule type="cellIs" dxfId="819" priority="68" operator="lessThan">
      <formula>$E$17</formula>
    </cfRule>
  </conditionalFormatting>
  <conditionalFormatting sqref="E17">
    <cfRule type="cellIs" dxfId="818" priority="67" operator="lessThan">
      <formula>$D$17</formula>
    </cfRule>
  </conditionalFormatting>
  <conditionalFormatting sqref="D18">
    <cfRule type="cellIs" dxfId="817" priority="66" operator="lessThan">
      <formula>$E$18</formula>
    </cfRule>
  </conditionalFormatting>
  <conditionalFormatting sqref="E18">
    <cfRule type="cellIs" dxfId="816" priority="65" operator="lessThan">
      <formula>$D$18</formula>
    </cfRule>
  </conditionalFormatting>
  <conditionalFormatting sqref="D19">
    <cfRule type="cellIs" dxfId="815" priority="64" operator="lessThan">
      <formula>$E$19</formula>
    </cfRule>
  </conditionalFormatting>
  <conditionalFormatting sqref="E19">
    <cfRule type="cellIs" dxfId="814" priority="63" operator="lessThan">
      <formula>$D$19</formula>
    </cfRule>
  </conditionalFormatting>
  <conditionalFormatting sqref="D20">
    <cfRule type="cellIs" dxfId="813" priority="62" operator="lessThan">
      <formula>$E$20</formula>
    </cfRule>
  </conditionalFormatting>
  <conditionalFormatting sqref="E20">
    <cfRule type="cellIs" dxfId="812" priority="61" operator="lessThan">
      <formula>$D$20</formula>
    </cfRule>
  </conditionalFormatting>
  <conditionalFormatting sqref="D21">
    <cfRule type="cellIs" dxfId="811" priority="60" operator="lessThan">
      <formula>$E$21</formula>
    </cfRule>
  </conditionalFormatting>
  <conditionalFormatting sqref="E21">
    <cfRule type="cellIs" dxfId="810" priority="59" operator="lessThan">
      <formula>$D$21</formula>
    </cfRule>
  </conditionalFormatting>
  <conditionalFormatting sqref="D22">
    <cfRule type="cellIs" dxfId="809" priority="58" operator="lessThan">
      <formula>$E$22</formula>
    </cfRule>
  </conditionalFormatting>
  <conditionalFormatting sqref="E22">
    <cfRule type="cellIs" dxfId="808" priority="57" operator="lessThan">
      <formula>$D$22</formula>
    </cfRule>
  </conditionalFormatting>
  <conditionalFormatting sqref="D23">
    <cfRule type="cellIs" dxfId="807" priority="56" operator="lessThan">
      <formula>$E$23</formula>
    </cfRule>
  </conditionalFormatting>
  <conditionalFormatting sqref="E23">
    <cfRule type="cellIs" dxfId="806" priority="55" operator="lessThan">
      <formula>$D$23</formula>
    </cfRule>
  </conditionalFormatting>
  <conditionalFormatting sqref="D24">
    <cfRule type="cellIs" dxfId="805" priority="54" operator="lessThan">
      <formula>$E$24</formula>
    </cfRule>
  </conditionalFormatting>
  <conditionalFormatting sqref="E24">
    <cfRule type="cellIs" dxfId="804" priority="53" operator="lessThan">
      <formula>$D$24</formula>
    </cfRule>
  </conditionalFormatting>
  <conditionalFormatting sqref="D25">
    <cfRule type="cellIs" dxfId="803" priority="52" operator="lessThan">
      <formula>$E$25</formula>
    </cfRule>
  </conditionalFormatting>
  <conditionalFormatting sqref="E25">
    <cfRule type="cellIs" dxfId="802" priority="51" operator="lessThan">
      <formula>$D$25</formula>
    </cfRule>
  </conditionalFormatting>
  <conditionalFormatting sqref="D26">
    <cfRule type="cellIs" dxfId="801" priority="50" operator="lessThan">
      <formula>$E$26</formula>
    </cfRule>
  </conditionalFormatting>
  <conditionalFormatting sqref="E26">
    <cfRule type="cellIs" dxfId="800" priority="49" operator="lessThan">
      <formula>$D$26</formula>
    </cfRule>
  </conditionalFormatting>
  <conditionalFormatting sqref="D27">
    <cfRule type="cellIs" dxfId="799" priority="48" operator="lessThan">
      <formula>$E$27</formula>
    </cfRule>
  </conditionalFormatting>
  <conditionalFormatting sqref="E27">
    <cfRule type="cellIs" dxfId="798" priority="47" operator="lessThan">
      <formula>$D$27</formula>
    </cfRule>
  </conditionalFormatting>
  <conditionalFormatting sqref="D28">
    <cfRule type="cellIs" dxfId="797" priority="46" operator="lessThan">
      <formula>$E$28</formula>
    </cfRule>
  </conditionalFormatting>
  <conditionalFormatting sqref="E28">
    <cfRule type="cellIs" dxfId="796" priority="45" operator="lessThan">
      <formula>$D$28</formula>
    </cfRule>
  </conditionalFormatting>
  <conditionalFormatting sqref="D29">
    <cfRule type="cellIs" dxfId="795" priority="44" operator="lessThan">
      <formula>$E$29</formula>
    </cfRule>
  </conditionalFormatting>
  <conditionalFormatting sqref="E29">
    <cfRule type="cellIs" dxfId="794" priority="43" operator="lessThan">
      <formula>$D$29</formula>
    </cfRule>
  </conditionalFormatting>
  <conditionalFormatting sqref="D30">
    <cfRule type="cellIs" dxfId="793" priority="42" operator="lessThan">
      <formula>$E$30</formula>
    </cfRule>
  </conditionalFormatting>
  <conditionalFormatting sqref="E30">
    <cfRule type="cellIs" dxfId="792" priority="41" operator="lessThan">
      <formula>$D$30</formula>
    </cfRule>
  </conditionalFormatting>
  <conditionalFormatting sqref="D31">
    <cfRule type="cellIs" dxfId="791" priority="40" operator="lessThan">
      <formula>$E$31</formula>
    </cfRule>
  </conditionalFormatting>
  <conditionalFormatting sqref="E31">
    <cfRule type="cellIs" dxfId="790" priority="39" operator="lessThan">
      <formula>$D$31</formula>
    </cfRule>
  </conditionalFormatting>
  <conditionalFormatting sqref="D32">
    <cfRule type="cellIs" dxfId="789" priority="38" operator="lessThan">
      <formula>$E$32</formula>
    </cfRule>
  </conditionalFormatting>
  <conditionalFormatting sqref="E32">
    <cfRule type="cellIs" dxfId="788" priority="37" operator="lessThan">
      <formula>$D$32</formula>
    </cfRule>
  </conditionalFormatting>
  <conditionalFormatting sqref="D33">
    <cfRule type="cellIs" dxfId="787" priority="36" operator="lessThan">
      <formula>$E$33</formula>
    </cfRule>
  </conditionalFormatting>
  <conditionalFormatting sqref="E33">
    <cfRule type="cellIs" dxfId="786" priority="35" operator="lessThan">
      <formula>$D$33</formula>
    </cfRule>
  </conditionalFormatting>
  <conditionalFormatting sqref="D34">
    <cfRule type="cellIs" dxfId="785" priority="34" operator="lessThan">
      <formula>$E$34</formula>
    </cfRule>
  </conditionalFormatting>
  <conditionalFormatting sqref="E34">
    <cfRule type="cellIs" dxfId="784" priority="33" operator="lessThan">
      <formula>$D$34</formula>
    </cfRule>
  </conditionalFormatting>
  <conditionalFormatting sqref="D35">
    <cfRule type="cellIs" dxfId="783" priority="32" operator="lessThan">
      <formula>$E$35</formula>
    </cfRule>
  </conditionalFormatting>
  <conditionalFormatting sqref="E35">
    <cfRule type="cellIs" dxfId="782" priority="31" operator="lessThan">
      <formula>$D$35</formula>
    </cfRule>
  </conditionalFormatting>
  <conditionalFormatting sqref="D36">
    <cfRule type="cellIs" dxfId="781" priority="30" operator="lessThan">
      <formula>$E$36</formula>
    </cfRule>
  </conditionalFormatting>
  <conditionalFormatting sqref="E36">
    <cfRule type="cellIs" dxfId="780" priority="29" operator="lessThan">
      <formula>$D$36</formula>
    </cfRule>
  </conditionalFormatting>
  <conditionalFormatting sqref="D37">
    <cfRule type="cellIs" dxfId="779" priority="28" operator="lessThan">
      <formula>$E$37</formula>
    </cfRule>
  </conditionalFormatting>
  <conditionalFormatting sqref="E37">
    <cfRule type="cellIs" dxfId="778" priority="27" operator="lessThan">
      <formula>$D$37</formula>
    </cfRule>
  </conditionalFormatting>
  <conditionalFormatting sqref="D38">
    <cfRule type="cellIs" dxfId="777" priority="26" operator="lessThan">
      <formula>$E$38</formula>
    </cfRule>
  </conditionalFormatting>
  <conditionalFormatting sqref="E38">
    <cfRule type="cellIs" dxfId="776" priority="25" operator="lessThan">
      <formula>$D$38</formula>
    </cfRule>
  </conditionalFormatting>
  <conditionalFormatting sqref="D39">
    <cfRule type="cellIs" dxfId="775" priority="24" operator="lessThan">
      <formula>$E$39</formula>
    </cfRule>
  </conditionalFormatting>
  <conditionalFormatting sqref="E39">
    <cfRule type="cellIs" dxfId="774" priority="23" operator="lessThan">
      <formula>$D$39</formula>
    </cfRule>
  </conditionalFormatting>
  <conditionalFormatting sqref="D40">
    <cfRule type="cellIs" dxfId="773" priority="22" operator="lessThan">
      <formula>$E$40</formula>
    </cfRule>
  </conditionalFormatting>
  <conditionalFormatting sqref="E40">
    <cfRule type="cellIs" dxfId="772" priority="21" operator="lessThan">
      <formula>$D$40</formula>
    </cfRule>
  </conditionalFormatting>
  <conditionalFormatting sqref="D41">
    <cfRule type="cellIs" dxfId="771" priority="20" operator="lessThan">
      <formula>$E$41</formula>
    </cfRule>
  </conditionalFormatting>
  <conditionalFormatting sqref="E41">
    <cfRule type="cellIs" dxfId="770" priority="19" operator="lessThan">
      <formula>$D$41</formula>
    </cfRule>
  </conditionalFormatting>
  <conditionalFormatting sqref="D42">
    <cfRule type="cellIs" dxfId="769" priority="18" operator="lessThan">
      <formula>$E$42</formula>
    </cfRule>
  </conditionalFormatting>
  <conditionalFormatting sqref="E42">
    <cfRule type="cellIs" dxfId="768" priority="17" operator="lessThan">
      <formula>$D$42</formula>
    </cfRule>
  </conditionalFormatting>
  <conditionalFormatting sqref="D43">
    <cfRule type="cellIs" dxfId="767" priority="16" operator="lessThan">
      <formula>$E$43</formula>
    </cfRule>
  </conditionalFormatting>
  <conditionalFormatting sqref="E43">
    <cfRule type="cellIs" dxfId="766" priority="15" operator="lessThan">
      <formula>$D$43</formula>
    </cfRule>
  </conditionalFormatting>
  <conditionalFormatting sqref="D44">
    <cfRule type="cellIs" dxfId="765" priority="14" operator="lessThan">
      <formula>$E$44</formula>
    </cfRule>
  </conditionalFormatting>
  <conditionalFormatting sqref="E44">
    <cfRule type="cellIs" dxfId="764" priority="13" operator="lessThan">
      <formula>$D$44</formula>
    </cfRule>
  </conditionalFormatting>
  <conditionalFormatting sqref="D45">
    <cfRule type="cellIs" dxfId="763" priority="12" operator="lessThan">
      <formula>$E$45</formula>
    </cfRule>
  </conditionalFormatting>
  <conditionalFormatting sqref="E45">
    <cfRule type="cellIs" dxfId="762" priority="11" operator="lessThan">
      <formula>$D$45</formula>
    </cfRule>
  </conditionalFormatting>
  <conditionalFormatting sqref="D46">
    <cfRule type="cellIs" dxfId="761" priority="10" operator="lessThan">
      <formula>$E$46</formula>
    </cfRule>
  </conditionalFormatting>
  <conditionalFormatting sqref="E46">
    <cfRule type="cellIs" dxfId="760" priority="9" operator="lessThan">
      <formula>$D$46</formula>
    </cfRule>
  </conditionalFormatting>
  <conditionalFormatting sqref="D47">
    <cfRule type="cellIs" dxfId="759" priority="8" operator="lessThan">
      <formula>$E$47</formula>
    </cfRule>
  </conditionalFormatting>
  <conditionalFormatting sqref="E47">
    <cfRule type="cellIs" dxfId="758" priority="7" operator="lessThan">
      <formula>$D$47</formula>
    </cfRule>
  </conditionalFormatting>
  <conditionalFormatting sqref="D48">
    <cfRule type="cellIs" dxfId="757" priority="6" operator="lessThan">
      <formula>$E$48</formula>
    </cfRule>
  </conditionalFormatting>
  <conditionalFormatting sqref="E48">
    <cfRule type="cellIs" dxfId="756" priority="5" operator="lessThan">
      <formula>$D$48</formula>
    </cfRule>
  </conditionalFormatting>
  <conditionalFormatting sqref="D49">
    <cfRule type="cellIs" dxfId="755" priority="4" operator="lessThan">
      <formula>$E$49</formula>
    </cfRule>
  </conditionalFormatting>
  <conditionalFormatting sqref="E49">
    <cfRule type="cellIs" dxfId="754" priority="3" operator="lessThan">
      <formula>$D$49</formula>
    </cfRule>
  </conditionalFormatting>
  <conditionalFormatting sqref="D50">
    <cfRule type="cellIs" dxfId="753" priority="2" operator="lessThan">
      <formula>$E$50</formula>
    </cfRule>
  </conditionalFormatting>
  <conditionalFormatting sqref="E50">
    <cfRule type="cellIs" dxfId="752" priority="1" operator="lessThan">
      <formula>$D$50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D15" sqref="D15"/>
    </sheetView>
  </sheetViews>
  <sheetFormatPr baseColWidth="10" defaultRowHeight="15" x14ac:dyDescent="0.25"/>
  <sheetData>
    <row r="1" spans="1:18" x14ac:dyDescent="0.25">
      <c r="A1" s="1"/>
      <c r="B1" s="2">
        <f>AVERAGE(B4:B38)</f>
        <v>2.1083333333333329</v>
      </c>
      <c r="C1" s="2">
        <f>AVERAGE(C4:C30)</f>
        <v>2.0974999999999997</v>
      </c>
      <c r="D1" s="2">
        <f>AVERAGE(D4:D60)</f>
        <v>3.2158333333333338</v>
      </c>
      <c r="E1" s="2">
        <f>AVERAGE(E4:E60)</f>
        <v>3.4650000000000003</v>
      </c>
      <c r="F1" s="1">
        <f>SUM(F4:F50)</f>
        <v>254.678</v>
      </c>
      <c r="G1" s="1">
        <f>D1-E1</f>
        <v>-0.24916666666666654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30.178036486114053</v>
      </c>
      <c r="H3" s="2">
        <f>L3/M3</f>
        <v>32.328032079004196</v>
      </c>
      <c r="I3" s="4">
        <f t="shared" ref="I3:R3" si="0">SUM(I4:I50)</f>
        <v>39.412322274881525</v>
      </c>
      <c r="J3" s="4">
        <f t="shared" si="0"/>
        <v>14.242322274881523</v>
      </c>
      <c r="K3" s="4">
        <f t="shared" si="0"/>
        <v>193.05176388625597</v>
      </c>
      <c r="L3" s="4">
        <f t="shared" si="0"/>
        <v>19305.176388625598</v>
      </c>
      <c r="M3" s="4">
        <f t="shared" si="0"/>
        <v>597.16521999999998</v>
      </c>
      <c r="N3" s="4">
        <f t="shared" si="0"/>
        <v>36.578199052132703</v>
      </c>
      <c r="O3" s="4">
        <f t="shared" si="0"/>
        <v>11.278199052132706</v>
      </c>
      <c r="P3" s="4">
        <f t="shared" si="0"/>
        <v>177.90110037914695</v>
      </c>
      <c r="Q3" s="4">
        <f t="shared" si="0"/>
        <v>17790.110037914692</v>
      </c>
      <c r="R3" s="4">
        <f t="shared" si="0"/>
        <v>589.50522000000001</v>
      </c>
    </row>
    <row r="4" spans="1:18" x14ac:dyDescent="0.25">
      <c r="A4" t="s">
        <v>35</v>
      </c>
      <c r="B4">
        <v>2.4</v>
      </c>
      <c r="C4">
        <v>2.15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33.182145330599276</v>
      </c>
      <c r="I4">
        <f t="shared" ref="I4:I51" si="1">E4/1.055</f>
        <v>3.3080568720379149</v>
      </c>
      <c r="J4">
        <f t="shared" ref="J4:J51" si="2">I4-C4</f>
        <v>1.158056872037915</v>
      </c>
      <c r="K4">
        <f t="shared" ref="K4:K51" si="3">J4*F4</f>
        <v>23.161137440758299</v>
      </c>
      <c r="L4">
        <f>K4*100</f>
        <v>2316.1137440758298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17</v>
      </c>
      <c r="B5">
        <v>2.79</v>
      </c>
      <c r="C5">
        <v>2.6</v>
      </c>
      <c r="D5">
        <v>4.49</v>
      </c>
      <c r="E5">
        <v>4.49</v>
      </c>
      <c r="F5">
        <v>5</v>
      </c>
      <c r="G5" s="1">
        <f t="shared" ref="G5:G51" si="5">Q5/R5</f>
        <v>32.648645225303213</v>
      </c>
      <c r="H5" s="1">
        <f t="shared" ref="H5:H51" si="6">L5/M5</f>
        <v>36.880271060492518</v>
      </c>
      <c r="I5">
        <f t="shared" si="1"/>
        <v>4.2559241706161144</v>
      </c>
      <c r="J5">
        <f t="shared" si="2"/>
        <v>1.6559241706161143</v>
      </c>
      <c r="K5">
        <f t="shared" si="3"/>
        <v>8.2796208530805711</v>
      </c>
      <c r="L5">
        <f t="shared" ref="L5:L51" si="7">K5*100</f>
        <v>827.96208530805711</v>
      </c>
      <c r="M5">
        <f t="shared" si="4"/>
        <v>22.450000000000003</v>
      </c>
      <c r="N5">
        <f t="shared" ref="N5:N51" si="8">D5/1.055</f>
        <v>4.2559241706161144</v>
      </c>
      <c r="O5">
        <f t="shared" ref="O5:O51" si="9">N5-B5</f>
        <v>1.4659241706161144</v>
      </c>
      <c r="P5">
        <f t="shared" ref="P5:P51" si="10">O5*F5</f>
        <v>7.3296208530805718</v>
      </c>
      <c r="Q5">
        <f t="shared" ref="Q5:Q51" si="11">P5*100</f>
        <v>732.96208530805723</v>
      </c>
      <c r="R5">
        <f t="shared" ref="R5:R51" si="12">D5*F5</f>
        <v>22.450000000000003</v>
      </c>
    </row>
    <row r="6" spans="1:18" x14ac:dyDescent="0.25">
      <c r="A6" t="s">
        <v>99</v>
      </c>
      <c r="B6">
        <v>2.89</v>
      </c>
      <c r="C6">
        <v>2.7</v>
      </c>
      <c r="D6">
        <v>4.49</v>
      </c>
      <c r="E6">
        <v>4.99</v>
      </c>
      <c r="F6">
        <v>10</v>
      </c>
      <c r="G6" s="1">
        <f t="shared" si="5"/>
        <v>30.421473733098313</v>
      </c>
      <c r="H6" s="1">
        <f t="shared" si="6"/>
        <v>40.678513424954183</v>
      </c>
      <c r="I6">
        <f t="shared" si="1"/>
        <v>4.7298578199052139</v>
      </c>
      <c r="J6">
        <f t="shared" si="2"/>
        <v>2.0298578199052137</v>
      </c>
      <c r="K6">
        <f t="shared" si="3"/>
        <v>20.298578199052137</v>
      </c>
      <c r="L6">
        <f t="shared" si="7"/>
        <v>2029.8578199052138</v>
      </c>
      <c r="M6">
        <f t="shared" si="4"/>
        <v>49.900000000000006</v>
      </c>
      <c r="N6">
        <f t="shared" si="8"/>
        <v>4.2559241706161144</v>
      </c>
      <c r="O6">
        <f t="shared" si="9"/>
        <v>1.3659241706161143</v>
      </c>
      <c r="P6">
        <f t="shared" si="10"/>
        <v>13.659241706161144</v>
      </c>
      <c r="Q6">
        <f t="shared" si="11"/>
        <v>1365.9241706161145</v>
      </c>
      <c r="R6">
        <f t="shared" si="12"/>
        <v>44.900000000000006</v>
      </c>
    </row>
    <row r="7" spans="1:18" x14ac:dyDescent="0.25">
      <c r="A7" t="s">
        <v>100</v>
      </c>
      <c r="B7">
        <v>2.99</v>
      </c>
      <c r="C7">
        <v>3.19</v>
      </c>
      <c r="D7">
        <v>4.99</v>
      </c>
      <c r="E7">
        <v>6.49</v>
      </c>
      <c r="F7">
        <v>5</v>
      </c>
      <c r="G7" s="1">
        <f t="shared" si="5"/>
        <v>34.866890178461198</v>
      </c>
      <c r="H7" s="1">
        <f t="shared" si="6"/>
        <v>45.634187484938558</v>
      </c>
      <c r="I7">
        <f t="shared" si="1"/>
        <v>6.1516587677725125</v>
      </c>
      <c r="J7">
        <f t="shared" si="2"/>
        <v>2.9616587677725126</v>
      </c>
      <c r="K7">
        <f t="shared" si="3"/>
        <v>14.808293838862562</v>
      </c>
      <c r="L7">
        <f t="shared" si="7"/>
        <v>1480.8293838862562</v>
      </c>
      <c r="M7">
        <f t="shared" si="4"/>
        <v>32.450000000000003</v>
      </c>
      <c r="N7">
        <f t="shared" si="8"/>
        <v>4.7298578199052139</v>
      </c>
      <c r="O7">
        <f t="shared" si="9"/>
        <v>1.7398578199052137</v>
      </c>
      <c r="P7">
        <f t="shared" si="10"/>
        <v>8.6992890995260694</v>
      </c>
      <c r="Q7">
        <f t="shared" si="11"/>
        <v>869.928909952607</v>
      </c>
      <c r="R7">
        <f t="shared" si="12"/>
        <v>24.950000000000003</v>
      </c>
    </row>
    <row r="8" spans="1:18" x14ac:dyDescent="0.25">
      <c r="A8" t="s">
        <v>12</v>
      </c>
      <c r="B8">
        <v>1.99</v>
      </c>
      <c r="C8">
        <v>1.89</v>
      </c>
      <c r="D8">
        <v>3.49</v>
      </c>
      <c r="E8">
        <v>3.49</v>
      </c>
      <c r="F8">
        <v>10</v>
      </c>
      <c r="G8" s="1">
        <f t="shared" si="5"/>
        <v>37.766672551229647</v>
      </c>
      <c r="H8" s="1">
        <f t="shared" si="6"/>
        <v>40.632002064123633</v>
      </c>
      <c r="I8">
        <f t="shared" si="1"/>
        <v>3.3080568720379149</v>
      </c>
      <c r="J8">
        <f t="shared" si="2"/>
        <v>1.418056872037915</v>
      </c>
      <c r="K8">
        <f t="shared" si="3"/>
        <v>14.180568720379149</v>
      </c>
      <c r="L8">
        <f t="shared" si="7"/>
        <v>1418.0568720379149</v>
      </c>
      <c r="M8">
        <f t="shared" si="4"/>
        <v>34.900000000000006</v>
      </c>
      <c r="N8">
        <f t="shared" si="8"/>
        <v>3.3080568720379149</v>
      </c>
      <c r="O8">
        <f t="shared" si="9"/>
        <v>1.3180568720379149</v>
      </c>
      <c r="P8">
        <f t="shared" si="10"/>
        <v>13.180568720379149</v>
      </c>
      <c r="Q8">
        <f t="shared" si="11"/>
        <v>1318.0568720379149</v>
      </c>
      <c r="R8">
        <f t="shared" si="12"/>
        <v>34.900000000000006</v>
      </c>
    </row>
    <row r="9" spans="1:18" x14ac:dyDescent="0.25">
      <c r="A9" t="s">
        <v>97</v>
      </c>
      <c r="B9">
        <v>1.45</v>
      </c>
      <c r="C9">
        <v>1.4</v>
      </c>
      <c r="D9">
        <v>1.89</v>
      </c>
      <c r="E9">
        <v>1.99</v>
      </c>
      <c r="F9">
        <v>6</v>
      </c>
      <c r="G9" s="1">
        <f t="shared" si="5"/>
        <v>18.067153138243192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2.9175355450236982</v>
      </c>
      <c r="L9">
        <f t="shared" si="7"/>
        <v>291.75355450236981</v>
      </c>
      <c r="M9">
        <f t="shared" si="4"/>
        <v>11.94</v>
      </c>
      <c r="N9">
        <f t="shared" si="8"/>
        <v>1.7914691943127963</v>
      </c>
      <c r="O9">
        <f t="shared" si="9"/>
        <v>0.34146919431279632</v>
      </c>
      <c r="P9">
        <f t="shared" si="10"/>
        <v>2.0488151658767779</v>
      </c>
      <c r="Q9">
        <f t="shared" si="11"/>
        <v>204.88151658767779</v>
      </c>
      <c r="R9">
        <f t="shared" si="12"/>
        <v>11.34</v>
      </c>
    </row>
    <row r="10" spans="1:18" x14ac:dyDescent="0.25">
      <c r="A10" t="s">
        <v>15</v>
      </c>
      <c r="B10">
        <v>1.42</v>
      </c>
      <c r="C10">
        <v>1.4</v>
      </c>
      <c r="D10">
        <v>1.99</v>
      </c>
      <c r="E10">
        <v>1.99</v>
      </c>
      <c r="F10">
        <v>36</v>
      </c>
      <c r="G10" s="1">
        <f t="shared" si="5"/>
        <v>23.429945938221927</v>
      </c>
      <c r="H10" s="1">
        <f t="shared" si="6"/>
        <v>24.434971063850067</v>
      </c>
      <c r="I10">
        <f t="shared" si="1"/>
        <v>1.8862559241706163</v>
      </c>
      <c r="J10">
        <f t="shared" si="2"/>
        <v>0.48625592417061636</v>
      </c>
      <c r="K10">
        <f t="shared" si="3"/>
        <v>17.505213270142189</v>
      </c>
      <c r="L10">
        <f t="shared" si="7"/>
        <v>1750.521327014219</v>
      </c>
      <c r="M10">
        <f t="shared" si="4"/>
        <v>71.64</v>
      </c>
      <c r="N10">
        <f t="shared" si="8"/>
        <v>1.8862559241706163</v>
      </c>
      <c r="O10">
        <f t="shared" si="9"/>
        <v>0.46625592417061634</v>
      </c>
      <c r="P10">
        <f t="shared" si="10"/>
        <v>16.785213270142187</v>
      </c>
      <c r="Q10">
        <f t="shared" si="11"/>
        <v>1678.5213270142187</v>
      </c>
      <c r="R10">
        <f t="shared" si="12"/>
        <v>71.64</v>
      </c>
    </row>
    <row r="11" spans="1:18" x14ac:dyDescent="0.25">
      <c r="A11" t="s">
        <v>67</v>
      </c>
      <c r="B11">
        <v>2.79</v>
      </c>
      <c r="C11">
        <v>2.79</v>
      </c>
      <c r="D11">
        <v>3.99</v>
      </c>
      <c r="E11">
        <v>3.99</v>
      </c>
      <c r="F11">
        <v>6.6779999999999999</v>
      </c>
      <c r="G11" s="1">
        <f t="shared" si="5"/>
        <v>24.861917827744733</v>
      </c>
      <c r="H11" s="1">
        <f t="shared" si="6"/>
        <v>24.861917827744733</v>
      </c>
      <c r="I11">
        <f t="shared" si="1"/>
        <v>3.7819905213270149</v>
      </c>
      <c r="J11">
        <f t="shared" si="2"/>
        <v>0.99199052132701482</v>
      </c>
      <c r="K11">
        <f t="shared" si="3"/>
        <v>6.6245127014218053</v>
      </c>
      <c r="L11">
        <f t="shared" si="7"/>
        <v>662.45127014218053</v>
      </c>
      <c r="M11">
        <f t="shared" si="4"/>
        <v>26.645220000000002</v>
      </c>
      <c r="N11">
        <f t="shared" si="8"/>
        <v>3.7819905213270149</v>
      </c>
      <c r="O11">
        <f t="shared" si="9"/>
        <v>0.99199052132701482</v>
      </c>
      <c r="P11">
        <f t="shared" si="10"/>
        <v>6.6245127014218053</v>
      </c>
      <c r="Q11">
        <f t="shared" si="11"/>
        <v>662.45127014218053</v>
      </c>
      <c r="R11">
        <f t="shared" si="12"/>
        <v>26.645220000000002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A13" t="s">
        <v>98</v>
      </c>
      <c r="B13">
        <v>0.83</v>
      </c>
      <c r="C13">
        <v>0.6</v>
      </c>
      <c r="D13">
        <v>1.4</v>
      </c>
      <c r="E13">
        <v>0.99</v>
      </c>
      <c r="F13">
        <v>104</v>
      </c>
      <c r="G13" s="1">
        <f t="shared" si="5"/>
        <v>35.501015572105622</v>
      </c>
      <c r="H13" s="1">
        <f t="shared" si="6"/>
        <v>34.180669251759305</v>
      </c>
      <c r="I13">
        <f t="shared" si="1"/>
        <v>0.93838862559241709</v>
      </c>
      <c r="J13">
        <f t="shared" si="2"/>
        <v>0.33838862559241711</v>
      </c>
      <c r="K13">
        <f t="shared" si="3"/>
        <v>35.19241706161138</v>
      </c>
      <c r="L13">
        <f t="shared" si="7"/>
        <v>3519.2417061611382</v>
      </c>
      <c r="M13">
        <f t="shared" si="4"/>
        <v>102.96</v>
      </c>
      <c r="N13">
        <f t="shared" si="8"/>
        <v>1.3270142180094786</v>
      </c>
      <c r="O13">
        <f t="shared" si="9"/>
        <v>0.49701421800947865</v>
      </c>
      <c r="P13">
        <f t="shared" si="10"/>
        <v>51.689478672985778</v>
      </c>
      <c r="Q13">
        <f t="shared" si="11"/>
        <v>5168.9478672985779</v>
      </c>
      <c r="R13">
        <f t="shared" si="12"/>
        <v>145.6</v>
      </c>
    </row>
    <row r="14" spans="1:18" x14ac:dyDescent="0.25">
      <c r="A14" t="s">
        <v>23</v>
      </c>
      <c r="B14">
        <v>1.5</v>
      </c>
      <c r="C14">
        <v>2.4</v>
      </c>
      <c r="D14">
        <v>2.4900000000000002</v>
      </c>
      <c r="E14">
        <v>3.69</v>
      </c>
      <c r="F14">
        <v>30</v>
      </c>
      <c r="G14" s="1">
        <f t="shared" si="5"/>
        <v>34.545766002398224</v>
      </c>
      <c r="H14" s="1">
        <f t="shared" si="6"/>
        <v>29.74607945131585</v>
      </c>
      <c r="I14">
        <f t="shared" si="1"/>
        <v>3.4976303317535549</v>
      </c>
      <c r="J14">
        <f t="shared" si="2"/>
        <v>1.097630331753555</v>
      </c>
      <c r="K14">
        <f t="shared" si="3"/>
        <v>32.928909952606645</v>
      </c>
      <c r="L14">
        <f t="shared" si="7"/>
        <v>3292.8909952606646</v>
      </c>
      <c r="M14">
        <f t="shared" si="4"/>
        <v>110.7</v>
      </c>
      <c r="N14">
        <f t="shared" si="8"/>
        <v>2.3601895734597158</v>
      </c>
      <c r="O14">
        <f t="shared" si="9"/>
        <v>0.86018957345971581</v>
      </c>
      <c r="P14">
        <f t="shared" si="10"/>
        <v>25.805687203791475</v>
      </c>
      <c r="Q14">
        <f t="shared" si="11"/>
        <v>2580.5687203791476</v>
      </c>
      <c r="R14">
        <f t="shared" si="12"/>
        <v>74.7</v>
      </c>
    </row>
    <row r="15" spans="1:18" x14ac:dyDescent="0.25">
      <c r="A15" t="s">
        <v>25</v>
      </c>
      <c r="B15">
        <v>2.8</v>
      </c>
      <c r="C15">
        <v>2.65</v>
      </c>
      <c r="D15">
        <v>3.99</v>
      </c>
      <c r="E15">
        <v>3.99</v>
      </c>
      <c r="F15">
        <v>10</v>
      </c>
      <c r="G15" s="1">
        <f t="shared" si="5"/>
        <v>24.611291261328695</v>
      </c>
      <c r="H15" s="1">
        <f t="shared" si="6"/>
        <v>28.370689757569298</v>
      </c>
      <c r="I15">
        <f t="shared" si="1"/>
        <v>3.7819905213270149</v>
      </c>
      <c r="J15">
        <f t="shared" si="2"/>
        <v>1.1319905213270149</v>
      </c>
      <c r="K15">
        <f t="shared" si="3"/>
        <v>11.31990521327015</v>
      </c>
      <c r="L15">
        <f t="shared" si="7"/>
        <v>1131.9905213270151</v>
      </c>
      <c r="M15">
        <f t="shared" si="4"/>
        <v>39.900000000000006</v>
      </c>
      <c r="N15">
        <f t="shared" si="8"/>
        <v>3.7819905213270149</v>
      </c>
      <c r="O15">
        <f t="shared" si="9"/>
        <v>0.98199052132701503</v>
      </c>
      <c r="P15">
        <f t="shared" si="10"/>
        <v>9.8199052132701503</v>
      </c>
      <c r="Q15">
        <f t="shared" si="11"/>
        <v>981.99052132701502</v>
      </c>
      <c r="R15">
        <f t="shared" si="12"/>
        <v>39.900000000000006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751" priority="188" operator="lessThan">
      <formula>$C$4</formula>
    </cfRule>
  </conditionalFormatting>
  <conditionalFormatting sqref="C4">
    <cfRule type="cellIs" dxfId="750" priority="187" operator="lessThan">
      <formula>$B$4</formula>
    </cfRule>
  </conditionalFormatting>
  <conditionalFormatting sqref="B5">
    <cfRule type="cellIs" dxfId="749" priority="186" operator="lessThan">
      <formula>$C$5</formula>
    </cfRule>
  </conditionalFormatting>
  <conditionalFormatting sqref="C5">
    <cfRule type="cellIs" dxfId="748" priority="185" operator="lessThan">
      <formula>$B$5</formula>
    </cfRule>
  </conditionalFormatting>
  <conditionalFormatting sqref="B6">
    <cfRule type="cellIs" dxfId="747" priority="184" operator="lessThan">
      <formula>$C$6</formula>
    </cfRule>
  </conditionalFormatting>
  <conditionalFormatting sqref="C6">
    <cfRule type="cellIs" dxfId="746" priority="183" operator="lessThan">
      <formula>$B$6</formula>
    </cfRule>
  </conditionalFormatting>
  <conditionalFormatting sqref="B7">
    <cfRule type="cellIs" dxfId="745" priority="182" operator="lessThan">
      <formula>$C$7</formula>
    </cfRule>
  </conditionalFormatting>
  <conditionalFormatting sqref="C7">
    <cfRule type="cellIs" dxfId="744" priority="181" operator="lessThan">
      <formula>$B$7</formula>
    </cfRule>
  </conditionalFormatting>
  <conditionalFormatting sqref="B8">
    <cfRule type="cellIs" dxfId="743" priority="180" operator="lessThan">
      <formula>$C$8</formula>
    </cfRule>
  </conditionalFormatting>
  <conditionalFormatting sqref="C8">
    <cfRule type="cellIs" dxfId="742" priority="179" operator="lessThan">
      <formula>$B$8</formula>
    </cfRule>
  </conditionalFormatting>
  <conditionalFormatting sqref="B9">
    <cfRule type="cellIs" dxfId="741" priority="178" operator="lessThan">
      <formula>$C$9</formula>
    </cfRule>
  </conditionalFormatting>
  <conditionalFormatting sqref="C9">
    <cfRule type="cellIs" dxfId="740" priority="177" operator="lessThan">
      <formula>$B$9</formula>
    </cfRule>
  </conditionalFormatting>
  <conditionalFormatting sqref="B10">
    <cfRule type="cellIs" dxfId="739" priority="176" operator="lessThan">
      <formula>$C$10</formula>
    </cfRule>
  </conditionalFormatting>
  <conditionalFormatting sqref="C10">
    <cfRule type="cellIs" dxfId="738" priority="175" operator="lessThan">
      <formula>$B$10</formula>
    </cfRule>
  </conditionalFormatting>
  <conditionalFormatting sqref="B11">
    <cfRule type="cellIs" dxfId="737" priority="174" operator="lessThan">
      <formula>$C$11</formula>
    </cfRule>
  </conditionalFormatting>
  <conditionalFormatting sqref="C11">
    <cfRule type="cellIs" dxfId="736" priority="173" operator="lessThan">
      <formula>$B$11</formula>
    </cfRule>
  </conditionalFormatting>
  <conditionalFormatting sqref="B12">
    <cfRule type="cellIs" dxfId="735" priority="172" operator="lessThan">
      <formula>$C$12</formula>
    </cfRule>
  </conditionalFormatting>
  <conditionalFormatting sqref="C12">
    <cfRule type="cellIs" dxfId="734" priority="171" operator="lessThan">
      <formula>$B$12</formula>
    </cfRule>
  </conditionalFormatting>
  <conditionalFormatting sqref="B13">
    <cfRule type="cellIs" dxfId="733" priority="170" operator="lessThan">
      <formula>$C$13</formula>
    </cfRule>
  </conditionalFormatting>
  <conditionalFormatting sqref="C13">
    <cfRule type="cellIs" dxfId="732" priority="169" operator="lessThan">
      <formula>$B$13</formula>
    </cfRule>
  </conditionalFormatting>
  <conditionalFormatting sqref="B14">
    <cfRule type="cellIs" dxfId="731" priority="168" operator="lessThan">
      <formula>$C$14</formula>
    </cfRule>
  </conditionalFormatting>
  <conditionalFormatting sqref="C14">
    <cfRule type="cellIs" dxfId="730" priority="167" operator="lessThan">
      <formula>$B$14</formula>
    </cfRule>
  </conditionalFormatting>
  <conditionalFormatting sqref="B15">
    <cfRule type="cellIs" dxfId="729" priority="166" operator="lessThan">
      <formula>$C$15</formula>
    </cfRule>
  </conditionalFormatting>
  <conditionalFormatting sqref="C15">
    <cfRule type="cellIs" dxfId="728" priority="165" operator="lessThan">
      <formula>$B$15</formula>
    </cfRule>
  </conditionalFormatting>
  <conditionalFormatting sqref="B16">
    <cfRule type="cellIs" dxfId="727" priority="164" operator="lessThan">
      <formula>$C$16</formula>
    </cfRule>
  </conditionalFormatting>
  <conditionalFormatting sqref="C16">
    <cfRule type="cellIs" dxfId="726" priority="163" operator="lessThan">
      <formula>$B$16</formula>
    </cfRule>
  </conditionalFormatting>
  <conditionalFormatting sqref="B17">
    <cfRule type="cellIs" dxfId="725" priority="162" operator="lessThan">
      <formula>$C$17</formula>
    </cfRule>
  </conditionalFormatting>
  <conditionalFormatting sqref="C17">
    <cfRule type="cellIs" dxfId="724" priority="161" operator="lessThan">
      <formula>$B$17</formula>
    </cfRule>
  </conditionalFormatting>
  <conditionalFormatting sqref="B18">
    <cfRule type="cellIs" dxfId="723" priority="160" operator="lessThan">
      <formula>$C$18</formula>
    </cfRule>
  </conditionalFormatting>
  <conditionalFormatting sqref="C18">
    <cfRule type="cellIs" dxfId="722" priority="159" operator="lessThan">
      <formula>$B$18</formula>
    </cfRule>
  </conditionalFormatting>
  <conditionalFormatting sqref="C19">
    <cfRule type="cellIs" dxfId="721" priority="158" operator="lessThan">
      <formula>$B$19</formula>
    </cfRule>
  </conditionalFormatting>
  <conditionalFormatting sqref="B19">
    <cfRule type="cellIs" dxfId="720" priority="157" operator="lessThan">
      <formula>$C$19</formula>
    </cfRule>
  </conditionalFormatting>
  <conditionalFormatting sqref="B20">
    <cfRule type="cellIs" dxfId="719" priority="156" operator="lessThan">
      <formula>$C$20</formula>
    </cfRule>
  </conditionalFormatting>
  <conditionalFormatting sqref="C20">
    <cfRule type="cellIs" dxfId="718" priority="155" operator="lessThan">
      <formula>$B$20</formula>
    </cfRule>
  </conditionalFormatting>
  <conditionalFormatting sqref="B21">
    <cfRule type="cellIs" dxfId="717" priority="154" operator="lessThan">
      <formula>$C$21</formula>
    </cfRule>
  </conditionalFormatting>
  <conditionalFormatting sqref="C21">
    <cfRule type="cellIs" dxfId="716" priority="153" operator="lessThan">
      <formula>$B$21</formula>
    </cfRule>
  </conditionalFormatting>
  <conditionalFormatting sqref="B22">
    <cfRule type="cellIs" dxfId="715" priority="152" operator="lessThan">
      <formula>$C$22</formula>
    </cfRule>
  </conditionalFormatting>
  <conditionalFormatting sqref="C22">
    <cfRule type="cellIs" dxfId="714" priority="151" operator="lessThan">
      <formula>$B$22</formula>
    </cfRule>
  </conditionalFormatting>
  <conditionalFormatting sqref="B23">
    <cfRule type="cellIs" dxfId="713" priority="150" operator="lessThan">
      <formula>$C$23</formula>
    </cfRule>
  </conditionalFormatting>
  <conditionalFormatting sqref="C23">
    <cfRule type="cellIs" dxfId="712" priority="149" operator="lessThan">
      <formula>$B$23</formula>
    </cfRule>
  </conditionalFormatting>
  <conditionalFormatting sqref="B24">
    <cfRule type="cellIs" dxfId="711" priority="148" operator="lessThan">
      <formula>$C$24</formula>
    </cfRule>
  </conditionalFormatting>
  <conditionalFormatting sqref="C24">
    <cfRule type="cellIs" dxfId="710" priority="147" operator="lessThan">
      <formula>$B$24</formula>
    </cfRule>
  </conditionalFormatting>
  <conditionalFormatting sqref="B25">
    <cfRule type="cellIs" dxfId="709" priority="146" operator="lessThan">
      <formula>$C$25</formula>
    </cfRule>
  </conditionalFormatting>
  <conditionalFormatting sqref="C25">
    <cfRule type="cellIs" dxfId="708" priority="145" operator="lessThan">
      <formula>$B$25</formula>
    </cfRule>
  </conditionalFormatting>
  <conditionalFormatting sqref="B26">
    <cfRule type="cellIs" dxfId="707" priority="144" operator="lessThan">
      <formula>$C$26</formula>
    </cfRule>
  </conditionalFormatting>
  <conditionalFormatting sqref="C26">
    <cfRule type="cellIs" dxfId="706" priority="143" operator="lessThan">
      <formula>$B$26</formula>
    </cfRule>
  </conditionalFormatting>
  <conditionalFormatting sqref="B27">
    <cfRule type="cellIs" dxfId="705" priority="142" operator="lessThan">
      <formula>$C$27</formula>
    </cfRule>
  </conditionalFormatting>
  <conditionalFormatting sqref="C27">
    <cfRule type="cellIs" dxfId="704" priority="141" operator="lessThan">
      <formula>$B$27</formula>
    </cfRule>
  </conditionalFormatting>
  <conditionalFormatting sqref="B28">
    <cfRule type="cellIs" dxfId="703" priority="140" operator="lessThan">
      <formula>$C$28</formula>
    </cfRule>
  </conditionalFormatting>
  <conditionalFormatting sqref="C28">
    <cfRule type="cellIs" dxfId="702" priority="139" operator="lessThan">
      <formula>$B$28</formula>
    </cfRule>
  </conditionalFormatting>
  <conditionalFormatting sqref="B29">
    <cfRule type="cellIs" dxfId="701" priority="138" operator="lessThan">
      <formula>$C$29</formula>
    </cfRule>
  </conditionalFormatting>
  <conditionalFormatting sqref="C29">
    <cfRule type="cellIs" dxfId="700" priority="137" operator="lessThan">
      <formula>$B$29</formula>
    </cfRule>
  </conditionalFormatting>
  <conditionalFormatting sqref="B30">
    <cfRule type="cellIs" dxfId="699" priority="136" operator="lessThan">
      <formula>$C$30</formula>
    </cfRule>
  </conditionalFormatting>
  <conditionalFormatting sqref="C30">
    <cfRule type="cellIs" dxfId="698" priority="135" operator="lessThan">
      <formula>$B$30</formula>
    </cfRule>
  </conditionalFormatting>
  <conditionalFormatting sqref="B31">
    <cfRule type="cellIs" dxfId="697" priority="134" operator="lessThan">
      <formula>$C$31</formula>
    </cfRule>
  </conditionalFormatting>
  <conditionalFormatting sqref="C31">
    <cfRule type="cellIs" dxfId="696" priority="133" operator="lessThan">
      <formula>$B$31</formula>
    </cfRule>
  </conditionalFormatting>
  <conditionalFormatting sqref="B32">
    <cfRule type="cellIs" dxfId="695" priority="132" operator="lessThan">
      <formula>$C$32</formula>
    </cfRule>
  </conditionalFormatting>
  <conditionalFormatting sqref="C32">
    <cfRule type="cellIs" dxfId="694" priority="131" operator="lessThan">
      <formula>$B$32</formula>
    </cfRule>
  </conditionalFormatting>
  <conditionalFormatting sqref="B33">
    <cfRule type="cellIs" dxfId="693" priority="130" operator="lessThan">
      <formula>$C$33</formula>
    </cfRule>
  </conditionalFormatting>
  <conditionalFormatting sqref="C33">
    <cfRule type="cellIs" dxfId="692" priority="129" operator="lessThan">
      <formula>$B$33</formula>
    </cfRule>
  </conditionalFormatting>
  <conditionalFormatting sqref="B34">
    <cfRule type="cellIs" dxfId="691" priority="128" operator="lessThan">
      <formula>$C$34</formula>
    </cfRule>
  </conditionalFormatting>
  <conditionalFormatting sqref="C34">
    <cfRule type="cellIs" dxfId="690" priority="127" operator="lessThan">
      <formula>$B$34</formula>
    </cfRule>
  </conditionalFormatting>
  <conditionalFormatting sqref="B35">
    <cfRule type="cellIs" dxfId="689" priority="126" operator="lessThan">
      <formula>$C$35</formula>
    </cfRule>
  </conditionalFormatting>
  <conditionalFormatting sqref="C35">
    <cfRule type="cellIs" dxfId="688" priority="125" operator="lessThan">
      <formula>$B$35</formula>
    </cfRule>
  </conditionalFormatting>
  <conditionalFormatting sqref="B36">
    <cfRule type="cellIs" dxfId="687" priority="124" operator="lessThan">
      <formula>$C$36</formula>
    </cfRule>
  </conditionalFormatting>
  <conditionalFormatting sqref="C36">
    <cfRule type="cellIs" dxfId="686" priority="123" operator="lessThan">
      <formula>$B$36</formula>
    </cfRule>
  </conditionalFormatting>
  <conditionalFormatting sqref="B37">
    <cfRule type="cellIs" dxfId="685" priority="122" operator="lessThan">
      <formula>$C$37</formula>
    </cfRule>
  </conditionalFormatting>
  <conditionalFormatting sqref="C37">
    <cfRule type="cellIs" dxfId="684" priority="121" operator="lessThan">
      <formula>$B$37</formula>
    </cfRule>
  </conditionalFormatting>
  <conditionalFormatting sqref="B38">
    <cfRule type="cellIs" dxfId="683" priority="120" operator="lessThan">
      <formula>$C$38</formula>
    </cfRule>
  </conditionalFormatting>
  <conditionalFormatting sqref="C38">
    <cfRule type="cellIs" dxfId="682" priority="119" operator="lessThan">
      <formula>$B$38</formula>
    </cfRule>
  </conditionalFormatting>
  <conditionalFormatting sqref="B39">
    <cfRule type="cellIs" dxfId="681" priority="118" operator="lessThan">
      <formula>$C$39</formula>
    </cfRule>
  </conditionalFormatting>
  <conditionalFormatting sqref="C39">
    <cfRule type="cellIs" dxfId="680" priority="117" operator="lessThan">
      <formula>$B$39</formula>
    </cfRule>
  </conditionalFormatting>
  <conditionalFormatting sqref="B40">
    <cfRule type="cellIs" dxfId="679" priority="116" operator="lessThan">
      <formula>$C$40</formula>
    </cfRule>
  </conditionalFormatting>
  <conditionalFormatting sqref="C40">
    <cfRule type="cellIs" dxfId="678" priority="115" operator="lessThan">
      <formula>$B$40</formula>
    </cfRule>
  </conditionalFormatting>
  <conditionalFormatting sqref="B41">
    <cfRule type="cellIs" dxfId="677" priority="114" operator="lessThan">
      <formula>$C$41</formula>
    </cfRule>
  </conditionalFormatting>
  <conditionalFormatting sqref="C41">
    <cfRule type="cellIs" dxfId="676" priority="113" operator="lessThan">
      <formula>$B$41</formula>
    </cfRule>
  </conditionalFormatting>
  <conditionalFormatting sqref="B42">
    <cfRule type="cellIs" dxfId="675" priority="112" operator="lessThan">
      <formula>$C$42</formula>
    </cfRule>
  </conditionalFormatting>
  <conditionalFormatting sqref="C42">
    <cfRule type="cellIs" dxfId="674" priority="111" operator="lessThan">
      <formula>$B$42</formula>
    </cfRule>
  </conditionalFormatting>
  <conditionalFormatting sqref="B43">
    <cfRule type="cellIs" dxfId="673" priority="110" operator="lessThan">
      <formula>$C$43</formula>
    </cfRule>
  </conditionalFormatting>
  <conditionalFormatting sqref="C43">
    <cfRule type="cellIs" dxfId="672" priority="109" operator="lessThan">
      <formula>$B$43</formula>
    </cfRule>
  </conditionalFormatting>
  <conditionalFormatting sqref="B44">
    <cfRule type="cellIs" dxfId="671" priority="108" operator="lessThan">
      <formula>$C$44</formula>
    </cfRule>
  </conditionalFormatting>
  <conditionalFormatting sqref="C44">
    <cfRule type="cellIs" dxfId="670" priority="107" operator="lessThan">
      <formula>$B$44</formula>
    </cfRule>
  </conditionalFormatting>
  <conditionalFormatting sqref="B45">
    <cfRule type="cellIs" dxfId="669" priority="106" operator="lessThan">
      <formula>$C$45</formula>
    </cfRule>
  </conditionalFormatting>
  <conditionalFormatting sqref="C45">
    <cfRule type="cellIs" dxfId="668" priority="105" operator="lessThan">
      <formula>$B$45</formula>
    </cfRule>
  </conditionalFormatting>
  <conditionalFormatting sqref="B46">
    <cfRule type="cellIs" dxfId="667" priority="104" operator="lessThan">
      <formula>$C$46</formula>
    </cfRule>
  </conditionalFormatting>
  <conditionalFormatting sqref="C46">
    <cfRule type="cellIs" dxfId="666" priority="103" operator="lessThan">
      <formula>$B$46</formula>
    </cfRule>
  </conditionalFormatting>
  <conditionalFormatting sqref="B47">
    <cfRule type="cellIs" dxfId="665" priority="102" operator="lessThan">
      <formula>$C$47</formula>
    </cfRule>
  </conditionalFormatting>
  <conditionalFormatting sqref="C47">
    <cfRule type="cellIs" dxfId="664" priority="101" operator="lessThan">
      <formula>$B$47</formula>
    </cfRule>
  </conditionalFormatting>
  <conditionalFormatting sqref="B48">
    <cfRule type="cellIs" dxfId="663" priority="100" operator="lessThan">
      <formula>$C$48</formula>
    </cfRule>
  </conditionalFormatting>
  <conditionalFormatting sqref="C48">
    <cfRule type="cellIs" dxfId="662" priority="99" operator="lessThan">
      <formula>$B$48</formula>
    </cfRule>
  </conditionalFormatting>
  <conditionalFormatting sqref="B49">
    <cfRule type="cellIs" dxfId="661" priority="98" operator="lessThan">
      <formula>$C$49</formula>
    </cfRule>
  </conditionalFormatting>
  <conditionalFormatting sqref="C49">
    <cfRule type="cellIs" dxfId="660" priority="97" operator="lessThan">
      <formula>$B$49</formula>
    </cfRule>
  </conditionalFormatting>
  <conditionalFormatting sqref="B50">
    <cfRule type="cellIs" dxfId="659" priority="96" operator="lessThan">
      <formula>$C$50</formula>
    </cfRule>
  </conditionalFormatting>
  <conditionalFormatting sqref="C50">
    <cfRule type="cellIs" dxfId="658" priority="95" operator="lessThan">
      <formula>$B$50</formula>
    </cfRule>
  </conditionalFormatting>
  <conditionalFormatting sqref="D4">
    <cfRule type="cellIs" dxfId="657" priority="94" operator="lessThan">
      <formula>$E$4</formula>
    </cfRule>
  </conditionalFormatting>
  <conditionalFormatting sqref="E4">
    <cfRule type="cellIs" dxfId="656" priority="93" operator="lessThan">
      <formula>$D$4</formula>
    </cfRule>
  </conditionalFormatting>
  <conditionalFormatting sqref="D5">
    <cfRule type="cellIs" dxfId="655" priority="92" operator="lessThan">
      <formula>$E$5</formula>
    </cfRule>
  </conditionalFormatting>
  <conditionalFormatting sqref="E5">
    <cfRule type="cellIs" dxfId="654" priority="91" operator="lessThan">
      <formula>$D$5</formula>
    </cfRule>
  </conditionalFormatting>
  <conditionalFormatting sqref="D6">
    <cfRule type="cellIs" dxfId="653" priority="90" operator="lessThan">
      <formula>$E$6</formula>
    </cfRule>
  </conditionalFormatting>
  <conditionalFormatting sqref="E6">
    <cfRule type="cellIs" dxfId="652" priority="89" operator="lessThan">
      <formula>$D$6</formula>
    </cfRule>
  </conditionalFormatting>
  <conditionalFormatting sqref="D7">
    <cfRule type="cellIs" dxfId="651" priority="88" operator="lessThan">
      <formula>$E$7</formula>
    </cfRule>
  </conditionalFormatting>
  <conditionalFormatting sqref="E7">
    <cfRule type="cellIs" dxfId="650" priority="87" operator="lessThan">
      <formula>$D$7</formula>
    </cfRule>
  </conditionalFormatting>
  <conditionalFormatting sqref="D8">
    <cfRule type="cellIs" dxfId="649" priority="86" operator="lessThan">
      <formula>$E$8</formula>
    </cfRule>
  </conditionalFormatting>
  <conditionalFormatting sqref="E8">
    <cfRule type="cellIs" dxfId="648" priority="85" operator="lessThan">
      <formula>$D$8</formula>
    </cfRule>
  </conditionalFormatting>
  <conditionalFormatting sqref="D9">
    <cfRule type="cellIs" dxfId="647" priority="84" operator="lessThan">
      <formula>$E$9</formula>
    </cfRule>
  </conditionalFormatting>
  <conditionalFormatting sqref="E9">
    <cfRule type="cellIs" dxfId="646" priority="83" operator="lessThan">
      <formula>$D$9</formula>
    </cfRule>
  </conditionalFormatting>
  <conditionalFormatting sqref="D10">
    <cfRule type="cellIs" dxfId="645" priority="82" operator="lessThan">
      <formula>$E$10</formula>
    </cfRule>
  </conditionalFormatting>
  <conditionalFormatting sqref="E10">
    <cfRule type="cellIs" dxfId="644" priority="81" operator="lessThan">
      <formula>$D$10</formula>
    </cfRule>
  </conditionalFormatting>
  <conditionalFormatting sqref="D11">
    <cfRule type="cellIs" dxfId="643" priority="80" operator="lessThan">
      <formula>$E$11</formula>
    </cfRule>
  </conditionalFormatting>
  <conditionalFormatting sqref="E11">
    <cfRule type="cellIs" dxfId="642" priority="79" operator="lessThan">
      <formula>$D$11</formula>
    </cfRule>
  </conditionalFormatting>
  <conditionalFormatting sqref="D12">
    <cfRule type="cellIs" dxfId="641" priority="78" operator="lessThan">
      <formula>$E$12</formula>
    </cfRule>
  </conditionalFormatting>
  <conditionalFormatting sqref="E12">
    <cfRule type="cellIs" dxfId="640" priority="77" operator="lessThan">
      <formula>$D$12</formula>
    </cfRule>
  </conditionalFormatting>
  <conditionalFormatting sqref="D13">
    <cfRule type="cellIs" dxfId="639" priority="76" operator="lessThan">
      <formula>$E$13</formula>
    </cfRule>
  </conditionalFormatting>
  <conditionalFormatting sqref="E13">
    <cfRule type="cellIs" dxfId="638" priority="75" operator="lessThan">
      <formula>$D$13</formula>
    </cfRule>
  </conditionalFormatting>
  <conditionalFormatting sqref="D14">
    <cfRule type="cellIs" dxfId="637" priority="74" operator="lessThan">
      <formula>$E$14</formula>
    </cfRule>
  </conditionalFormatting>
  <conditionalFormatting sqref="E14">
    <cfRule type="cellIs" dxfId="636" priority="73" operator="lessThan">
      <formula>$D$14</formula>
    </cfRule>
  </conditionalFormatting>
  <conditionalFormatting sqref="D15">
    <cfRule type="cellIs" dxfId="635" priority="72" operator="lessThan">
      <formula>$E$15</formula>
    </cfRule>
  </conditionalFormatting>
  <conditionalFormatting sqref="E15">
    <cfRule type="cellIs" dxfId="634" priority="71" operator="lessThan">
      <formula>$D$15</formula>
    </cfRule>
  </conditionalFormatting>
  <conditionalFormatting sqref="D16">
    <cfRule type="cellIs" dxfId="633" priority="70" operator="lessThan">
      <formula>$E$16</formula>
    </cfRule>
  </conditionalFormatting>
  <conditionalFormatting sqref="E16">
    <cfRule type="cellIs" dxfId="632" priority="69" operator="lessThan">
      <formula>$D$16</formula>
    </cfRule>
  </conditionalFormatting>
  <conditionalFormatting sqref="D17">
    <cfRule type="cellIs" dxfId="631" priority="68" operator="lessThan">
      <formula>$E$17</formula>
    </cfRule>
  </conditionalFormatting>
  <conditionalFormatting sqref="E17">
    <cfRule type="cellIs" dxfId="630" priority="67" operator="lessThan">
      <formula>$D$17</formula>
    </cfRule>
  </conditionalFormatting>
  <conditionalFormatting sqref="D18">
    <cfRule type="cellIs" dxfId="629" priority="66" operator="lessThan">
      <formula>$E$18</formula>
    </cfRule>
  </conditionalFormatting>
  <conditionalFormatting sqref="E18">
    <cfRule type="cellIs" dxfId="628" priority="65" operator="lessThan">
      <formula>$D$18</formula>
    </cfRule>
  </conditionalFormatting>
  <conditionalFormatting sqref="D19">
    <cfRule type="cellIs" dxfId="627" priority="64" operator="lessThan">
      <formula>$E$19</formula>
    </cfRule>
  </conditionalFormatting>
  <conditionalFormatting sqref="E19">
    <cfRule type="cellIs" dxfId="626" priority="63" operator="lessThan">
      <formula>$D$19</formula>
    </cfRule>
  </conditionalFormatting>
  <conditionalFormatting sqref="D20">
    <cfRule type="cellIs" dxfId="625" priority="62" operator="lessThan">
      <formula>$E$20</formula>
    </cfRule>
  </conditionalFormatting>
  <conditionalFormatting sqref="E20">
    <cfRule type="cellIs" dxfId="624" priority="61" operator="lessThan">
      <formula>$D$20</formula>
    </cfRule>
  </conditionalFormatting>
  <conditionalFormatting sqref="D21">
    <cfRule type="cellIs" dxfId="623" priority="60" operator="lessThan">
      <formula>$E$21</formula>
    </cfRule>
  </conditionalFormatting>
  <conditionalFormatting sqref="E21">
    <cfRule type="cellIs" dxfId="622" priority="59" operator="lessThan">
      <formula>$D$21</formula>
    </cfRule>
  </conditionalFormatting>
  <conditionalFormatting sqref="D22">
    <cfRule type="cellIs" dxfId="621" priority="58" operator="lessThan">
      <formula>$E$22</formula>
    </cfRule>
  </conditionalFormatting>
  <conditionalFormatting sqref="E22">
    <cfRule type="cellIs" dxfId="620" priority="57" operator="lessThan">
      <formula>$D$22</formula>
    </cfRule>
  </conditionalFormatting>
  <conditionalFormatting sqref="D23">
    <cfRule type="cellIs" dxfId="619" priority="56" operator="lessThan">
      <formula>$E$23</formula>
    </cfRule>
  </conditionalFormatting>
  <conditionalFormatting sqref="E23">
    <cfRule type="cellIs" dxfId="618" priority="55" operator="lessThan">
      <formula>$D$23</formula>
    </cfRule>
  </conditionalFormatting>
  <conditionalFormatting sqref="D24">
    <cfRule type="cellIs" dxfId="617" priority="54" operator="lessThan">
      <formula>$E$24</formula>
    </cfRule>
  </conditionalFormatting>
  <conditionalFormatting sqref="E24">
    <cfRule type="cellIs" dxfId="616" priority="53" operator="lessThan">
      <formula>$D$24</formula>
    </cfRule>
  </conditionalFormatting>
  <conditionalFormatting sqref="D25">
    <cfRule type="cellIs" dxfId="615" priority="52" operator="lessThan">
      <formula>$E$25</formula>
    </cfRule>
  </conditionalFormatting>
  <conditionalFormatting sqref="E25">
    <cfRule type="cellIs" dxfId="614" priority="51" operator="lessThan">
      <formula>$D$25</formula>
    </cfRule>
  </conditionalFormatting>
  <conditionalFormatting sqref="D26">
    <cfRule type="cellIs" dxfId="613" priority="50" operator="lessThan">
      <formula>$E$26</formula>
    </cfRule>
  </conditionalFormatting>
  <conditionalFormatting sqref="E26">
    <cfRule type="cellIs" dxfId="612" priority="49" operator="lessThan">
      <formula>$D$26</formula>
    </cfRule>
  </conditionalFormatting>
  <conditionalFormatting sqref="D27">
    <cfRule type="cellIs" dxfId="611" priority="48" operator="lessThan">
      <formula>$E$27</formula>
    </cfRule>
  </conditionalFormatting>
  <conditionalFormatting sqref="E27">
    <cfRule type="cellIs" dxfId="610" priority="47" operator="lessThan">
      <formula>$D$27</formula>
    </cfRule>
  </conditionalFormatting>
  <conditionalFormatting sqref="D28">
    <cfRule type="cellIs" dxfId="609" priority="46" operator="lessThan">
      <formula>$E$28</formula>
    </cfRule>
  </conditionalFormatting>
  <conditionalFormatting sqref="E28">
    <cfRule type="cellIs" dxfId="608" priority="45" operator="lessThan">
      <formula>$D$28</formula>
    </cfRule>
  </conditionalFormatting>
  <conditionalFormatting sqref="D29">
    <cfRule type="cellIs" dxfId="607" priority="44" operator="lessThan">
      <formula>$E$29</formula>
    </cfRule>
  </conditionalFormatting>
  <conditionalFormatting sqref="E29">
    <cfRule type="cellIs" dxfId="606" priority="43" operator="lessThan">
      <formula>$D$29</formula>
    </cfRule>
  </conditionalFormatting>
  <conditionalFormatting sqref="D30">
    <cfRule type="cellIs" dxfId="605" priority="42" operator="lessThan">
      <formula>$E$30</formula>
    </cfRule>
  </conditionalFormatting>
  <conditionalFormatting sqref="E30">
    <cfRule type="cellIs" dxfId="604" priority="41" operator="lessThan">
      <formula>$D$30</formula>
    </cfRule>
  </conditionalFormatting>
  <conditionalFormatting sqref="D31">
    <cfRule type="cellIs" dxfId="603" priority="40" operator="lessThan">
      <formula>$E$31</formula>
    </cfRule>
  </conditionalFormatting>
  <conditionalFormatting sqref="E31">
    <cfRule type="cellIs" dxfId="602" priority="39" operator="lessThan">
      <formula>$D$31</formula>
    </cfRule>
  </conditionalFormatting>
  <conditionalFormatting sqref="D32">
    <cfRule type="cellIs" dxfId="601" priority="38" operator="lessThan">
      <formula>$E$32</formula>
    </cfRule>
  </conditionalFormatting>
  <conditionalFormatting sqref="E32">
    <cfRule type="cellIs" dxfId="600" priority="37" operator="lessThan">
      <formula>$D$32</formula>
    </cfRule>
  </conditionalFormatting>
  <conditionalFormatting sqref="D33">
    <cfRule type="cellIs" dxfId="599" priority="36" operator="lessThan">
      <formula>$E$33</formula>
    </cfRule>
  </conditionalFormatting>
  <conditionalFormatting sqref="E33">
    <cfRule type="cellIs" dxfId="598" priority="35" operator="lessThan">
      <formula>$D$33</formula>
    </cfRule>
  </conditionalFormatting>
  <conditionalFormatting sqref="D34">
    <cfRule type="cellIs" dxfId="597" priority="34" operator="lessThan">
      <formula>$E$34</formula>
    </cfRule>
  </conditionalFormatting>
  <conditionalFormatting sqref="E34">
    <cfRule type="cellIs" dxfId="596" priority="33" operator="lessThan">
      <formula>$D$34</formula>
    </cfRule>
  </conditionalFormatting>
  <conditionalFormatting sqref="D35">
    <cfRule type="cellIs" dxfId="595" priority="32" operator="lessThan">
      <formula>$E$35</formula>
    </cfRule>
  </conditionalFormatting>
  <conditionalFormatting sqref="E35">
    <cfRule type="cellIs" dxfId="594" priority="31" operator="lessThan">
      <formula>$D$35</formula>
    </cfRule>
  </conditionalFormatting>
  <conditionalFormatting sqref="D36">
    <cfRule type="cellIs" dxfId="593" priority="30" operator="lessThan">
      <formula>$E$36</formula>
    </cfRule>
  </conditionalFormatting>
  <conditionalFormatting sqref="E36">
    <cfRule type="cellIs" dxfId="592" priority="29" operator="lessThan">
      <formula>$D$36</formula>
    </cfRule>
  </conditionalFormatting>
  <conditionalFormatting sqref="D37">
    <cfRule type="cellIs" dxfId="591" priority="28" operator="lessThan">
      <formula>$E$37</formula>
    </cfRule>
  </conditionalFormatting>
  <conditionalFormatting sqref="E37">
    <cfRule type="cellIs" dxfId="590" priority="27" operator="lessThan">
      <formula>$D$37</formula>
    </cfRule>
  </conditionalFormatting>
  <conditionalFormatting sqref="D38">
    <cfRule type="cellIs" dxfId="589" priority="26" operator="lessThan">
      <formula>$E$38</formula>
    </cfRule>
  </conditionalFormatting>
  <conditionalFormatting sqref="E38">
    <cfRule type="cellIs" dxfId="588" priority="25" operator="lessThan">
      <formula>$D$38</formula>
    </cfRule>
  </conditionalFormatting>
  <conditionalFormatting sqref="D39">
    <cfRule type="cellIs" dxfId="587" priority="24" operator="lessThan">
      <formula>$E$39</formula>
    </cfRule>
  </conditionalFormatting>
  <conditionalFormatting sqref="E39">
    <cfRule type="cellIs" dxfId="586" priority="23" operator="lessThan">
      <formula>$D$39</formula>
    </cfRule>
  </conditionalFormatting>
  <conditionalFormatting sqref="D40">
    <cfRule type="cellIs" dxfId="585" priority="22" operator="lessThan">
      <formula>$E$40</formula>
    </cfRule>
  </conditionalFormatting>
  <conditionalFormatting sqref="E40">
    <cfRule type="cellIs" dxfId="584" priority="21" operator="lessThan">
      <formula>$D$40</formula>
    </cfRule>
  </conditionalFormatting>
  <conditionalFormatting sqref="D41">
    <cfRule type="cellIs" dxfId="583" priority="20" operator="lessThan">
      <formula>$E$41</formula>
    </cfRule>
  </conditionalFormatting>
  <conditionalFormatting sqref="E41">
    <cfRule type="cellIs" dxfId="582" priority="19" operator="lessThan">
      <formula>$D$41</formula>
    </cfRule>
  </conditionalFormatting>
  <conditionalFormatting sqref="D42">
    <cfRule type="cellIs" dxfId="581" priority="18" operator="lessThan">
      <formula>$E$42</formula>
    </cfRule>
  </conditionalFormatting>
  <conditionalFormatting sqref="E42">
    <cfRule type="cellIs" dxfId="580" priority="17" operator="lessThan">
      <formula>$D$42</formula>
    </cfRule>
  </conditionalFormatting>
  <conditionalFormatting sqref="D43">
    <cfRule type="cellIs" dxfId="579" priority="16" operator="lessThan">
      <formula>$E$43</formula>
    </cfRule>
  </conditionalFormatting>
  <conditionalFormatting sqref="E43">
    <cfRule type="cellIs" dxfId="578" priority="15" operator="lessThan">
      <formula>$D$43</formula>
    </cfRule>
  </conditionalFormatting>
  <conditionalFormatting sqref="D44">
    <cfRule type="cellIs" dxfId="577" priority="14" operator="lessThan">
      <formula>$E$44</formula>
    </cfRule>
  </conditionalFormatting>
  <conditionalFormatting sqref="E44">
    <cfRule type="cellIs" dxfId="576" priority="13" operator="lessThan">
      <formula>$D$44</formula>
    </cfRule>
  </conditionalFormatting>
  <conditionalFormatting sqref="D45">
    <cfRule type="cellIs" dxfId="575" priority="12" operator="lessThan">
      <formula>$E$45</formula>
    </cfRule>
  </conditionalFormatting>
  <conditionalFormatting sqref="E45">
    <cfRule type="cellIs" dxfId="574" priority="11" operator="lessThan">
      <formula>$D$45</formula>
    </cfRule>
  </conditionalFormatting>
  <conditionalFormatting sqref="D46">
    <cfRule type="cellIs" dxfId="573" priority="10" operator="lessThan">
      <formula>$E$46</formula>
    </cfRule>
  </conditionalFormatting>
  <conditionalFormatting sqref="E46">
    <cfRule type="cellIs" dxfId="572" priority="9" operator="lessThan">
      <formula>$D$46</formula>
    </cfRule>
  </conditionalFormatting>
  <conditionalFormatting sqref="D47">
    <cfRule type="cellIs" dxfId="571" priority="8" operator="lessThan">
      <formula>$E$47</formula>
    </cfRule>
  </conditionalFormatting>
  <conditionalFormatting sqref="E47">
    <cfRule type="cellIs" dxfId="570" priority="7" operator="lessThan">
      <formula>$D$47</formula>
    </cfRule>
  </conditionalFormatting>
  <conditionalFormatting sqref="D48">
    <cfRule type="cellIs" dxfId="569" priority="6" operator="lessThan">
      <formula>$E$48</formula>
    </cfRule>
  </conditionalFormatting>
  <conditionalFormatting sqref="E48">
    <cfRule type="cellIs" dxfId="568" priority="5" operator="lessThan">
      <formula>$D$48</formula>
    </cfRule>
  </conditionalFormatting>
  <conditionalFormatting sqref="D49">
    <cfRule type="cellIs" dxfId="567" priority="4" operator="lessThan">
      <formula>$E$49</formula>
    </cfRule>
  </conditionalFormatting>
  <conditionalFormatting sqref="E49">
    <cfRule type="cellIs" dxfId="566" priority="3" operator="lessThan">
      <formula>$D$49</formula>
    </cfRule>
  </conditionalFormatting>
  <conditionalFormatting sqref="D50">
    <cfRule type="cellIs" dxfId="565" priority="2" operator="lessThan">
      <formula>$E$50</formula>
    </cfRule>
  </conditionalFormatting>
  <conditionalFormatting sqref="E50">
    <cfRule type="cellIs" dxfId="564" priority="1" operator="lessThan">
      <formula>$D$50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2.1144444444444441</v>
      </c>
      <c r="C1" s="2">
        <f>AVERAGE(C4:C30)</f>
        <v>1.8644444444444446</v>
      </c>
      <c r="D1" s="2">
        <f>AVERAGE(D4:D60)</f>
        <v>3.1011111111111109</v>
      </c>
      <c r="E1" s="2">
        <f>AVERAGE(E4:E60)</f>
        <v>3.3011111111111107</v>
      </c>
      <c r="F1" s="1">
        <f>SUM(F4:F50)</f>
        <v>214.43</v>
      </c>
      <c r="G1" s="1">
        <f>D1-E1</f>
        <v>-0.19999999999999973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26.278003963214459</v>
      </c>
      <c r="H3" s="2">
        <f>L3/M3</f>
        <v>34.410033372726275</v>
      </c>
      <c r="I3" s="4">
        <f t="shared" ref="I3:R3" si="0">SUM(I4:I50)</f>
        <v>28.161137440758296</v>
      </c>
      <c r="J3" s="4">
        <f t="shared" si="0"/>
        <v>11.381137440758298</v>
      </c>
      <c r="K3" s="4">
        <f t="shared" si="0"/>
        <v>174.86342796208535</v>
      </c>
      <c r="L3" s="4">
        <f t="shared" si="0"/>
        <v>17486.342796208537</v>
      </c>
      <c r="M3" s="4">
        <f t="shared" si="0"/>
        <v>508.17570000000001</v>
      </c>
      <c r="N3" s="4">
        <f t="shared" si="0"/>
        <v>26.454976303317537</v>
      </c>
      <c r="O3" s="4">
        <f t="shared" si="0"/>
        <v>7.4249763033175382</v>
      </c>
      <c r="P3" s="4">
        <f t="shared" si="0"/>
        <v>132.0405843601896</v>
      </c>
      <c r="Q3" s="4">
        <f t="shared" si="0"/>
        <v>13204.05843601896</v>
      </c>
      <c r="R3" s="4">
        <f t="shared" si="0"/>
        <v>502.47570000000002</v>
      </c>
    </row>
    <row r="4" spans="1:18" x14ac:dyDescent="0.25">
      <c r="A4" t="s">
        <v>35</v>
      </c>
      <c r="B4">
        <v>2.4</v>
      </c>
      <c r="C4">
        <v>2.15</v>
      </c>
      <c r="D4">
        <v>3.49</v>
      </c>
      <c r="E4">
        <v>3.49</v>
      </c>
      <c r="F4">
        <v>20</v>
      </c>
      <c r="G4" s="1">
        <f>Q4/R4</f>
        <v>26.018821548364322</v>
      </c>
      <c r="H4" s="1">
        <f>L4/M4</f>
        <v>33.182145330599276</v>
      </c>
      <c r="I4">
        <f t="shared" ref="I4:I51" si="1">E4/1.055</f>
        <v>3.3080568720379149</v>
      </c>
      <c r="J4">
        <f t="shared" ref="J4:J51" si="2">I4-C4</f>
        <v>1.158056872037915</v>
      </c>
      <c r="K4">
        <f t="shared" ref="K4:K51" si="3">J4*F4</f>
        <v>23.161137440758299</v>
      </c>
      <c r="L4">
        <f>K4*100</f>
        <v>2316.1137440758298</v>
      </c>
      <c r="M4">
        <f t="shared" ref="M4:M51" si="4">E4*F4</f>
        <v>69.800000000000011</v>
      </c>
      <c r="N4">
        <f>D4/1.055</f>
        <v>3.3080568720379149</v>
      </c>
      <c r="O4">
        <f>N4-B4</f>
        <v>0.90805687203791496</v>
      </c>
      <c r="P4">
        <f>O4*F4</f>
        <v>18.161137440758299</v>
      </c>
      <c r="Q4">
        <f>P4*100</f>
        <v>1816.11374407583</v>
      </c>
      <c r="R4">
        <f>D4*F4</f>
        <v>69.800000000000011</v>
      </c>
    </row>
    <row r="5" spans="1:18" x14ac:dyDescent="0.25">
      <c r="A5" t="s">
        <v>26</v>
      </c>
      <c r="B5">
        <v>2.39</v>
      </c>
      <c r="C5">
        <v>1.39</v>
      </c>
      <c r="D5">
        <v>3.99</v>
      </c>
      <c r="E5">
        <v>4.99</v>
      </c>
      <c r="F5">
        <v>5</v>
      </c>
      <c r="G5" s="1">
        <f t="shared" ref="G5:G51" si="5">Q5/R5</f>
        <v>34.886980484386335</v>
      </c>
      <c r="H5" s="1">
        <f t="shared" ref="H5:H51" si="6">L5/M5</f>
        <v>66.93101843497422</v>
      </c>
      <c r="I5">
        <f t="shared" si="1"/>
        <v>4.7298578199052139</v>
      </c>
      <c r="J5">
        <f t="shared" si="2"/>
        <v>3.3398578199052142</v>
      </c>
      <c r="K5">
        <f t="shared" si="3"/>
        <v>16.699289099526069</v>
      </c>
      <c r="L5">
        <f t="shared" ref="L5:L51" si="7">K5*100</f>
        <v>1669.928909952607</v>
      </c>
      <c r="M5">
        <f t="shared" si="4"/>
        <v>24.950000000000003</v>
      </c>
      <c r="N5">
        <f t="shared" ref="N5:N51" si="8">D5/1.055</f>
        <v>3.7819905213270149</v>
      </c>
      <c r="O5">
        <f t="shared" ref="O5:O51" si="9">N5-B5</f>
        <v>1.3919905213270147</v>
      </c>
      <c r="P5">
        <f t="shared" ref="P5:P51" si="10">O5*F5</f>
        <v>6.9599526066350741</v>
      </c>
      <c r="Q5">
        <f t="shared" ref="Q5:Q51" si="11">P5*100</f>
        <v>695.99526066350745</v>
      </c>
      <c r="R5">
        <f t="shared" ref="R5:R51" si="12">D5*F5</f>
        <v>19.950000000000003</v>
      </c>
    </row>
    <row r="6" spans="1:18" x14ac:dyDescent="0.25">
      <c r="A6" t="s">
        <v>10</v>
      </c>
      <c r="B6">
        <v>3.29</v>
      </c>
      <c r="C6">
        <v>2.7</v>
      </c>
      <c r="D6">
        <v>4.79</v>
      </c>
      <c r="E6">
        <v>4.99</v>
      </c>
      <c r="F6">
        <v>15</v>
      </c>
      <c r="G6" s="1">
        <f t="shared" si="5"/>
        <v>26.101969941327223</v>
      </c>
      <c r="H6" s="1">
        <f t="shared" si="6"/>
        <v>40.678513424954183</v>
      </c>
      <c r="I6">
        <f t="shared" si="1"/>
        <v>4.7298578199052139</v>
      </c>
      <c r="J6">
        <f t="shared" si="2"/>
        <v>2.0298578199052137</v>
      </c>
      <c r="K6">
        <f t="shared" si="3"/>
        <v>30.447867298578206</v>
      </c>
      <c r="L6">
        <f t="shared" si="7"/>
        <v>3044.7867298578208</v>
      </c>
      <c r="M6">
        <f t="shared" si="4"/>
        <v>74.850000000000009</v>
      </c>
      <c r="N6">
        <f t="shared" si="8"/>
        <v>4.5402843601895739</v>
      </c>
      <c r="O6">
        <f t="shared" si="9"/>
        <v>1.2502843601895739</v>
      </c>
      <c r="P6">
        <f t="shared" si="10"/>
        <v>18.754265402843608</v>
      </c>
      <c r="Q6">
        <f t="shared" si="11"/>
        <v>1875.4265402843607</v>
      </c>
      <c r="R6">
        <f t="shared" si="12"/>
        <v>71.849999999999994</v>
      </c>
    </row>
    <row r="7" spans="1:18" x14ac:dyDescent="0.25">
      <c r="A7" t="s">
        <v>20</v>
      </c>
      <c r="B7">
        <v>0.96</v>
      </c>
      <c r="C7">
        <v>0.65</v>
      </c>
      <c r="D7">
        <v>1.39</v>
      </c>
      <c r="E7">
        <v>1.29</v>
      </c>
      <c r="F7">
        <v>72</v>
      </c>
      <c r="G7" s="1">
        <f t="shared" si="5"/>
        <v>25.721981656381061</v>
      </c>
      <c r="H7" s="1">
        <f t="shared" si="6"/>
        <v>44.399132958595118</v>
      </c>
      <c r="I7">
        <f t="shared" si="1"/>
        <v>1.222748815165877</v>
      </c>
      <c r="J7">
        <f t="shared" si="2"/>
        <v>0.57274881516587695</v>
      </c>
      <c r="K7">
        <f t="shared" si="3"/>
        <v>41.237914691943139</v>
      </c>
      <c r="L7">
        <f t="shared" si="7"/>
        <v>4123.7914691943142</v>
      </c>
      <c r="M7">
        <f t="shared" si="4"/>
        <v>92.88</v>
      </c>
      <c r="N7">
        <f t="shared" si="8"/>
        <v>1.3175355450236967</v>
      </c>
      <c r="O7">
        <f t="shared" si="9"/>
        <v>0.35753554502369678</v>
      </c>
      <c r="P7">
        <f t="shared" si="10"/>
        <v>25.742559241706168</v>
      </c>
      <c r="Q7">
        <f t="shared" si="11"/>
        <v>2574.2559241706167</v>
      </c>
      <c r="R7">
        <f t="shared" si="12"/>
        <v>100.08</v>
      </c>
    </row>
    <row r="8" spans="1:18" x14ac:dyDescent="0.25">
      <c r="A8" t="s">
        <v>28</v>
      </c>
      <c r="B8">
        <v>1.45</v>
      </c>
      <c r="C8">
        <v>1.4</v>
      </c>
      <c r="D8">
        <v>1.89</v>
      </c>
      <c r="E8">
        <v>1.99</v>
      </c>
      <c r="F8">
        <v>12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5.8350710900473963</v>
      </c>
      <c r="L8">
        <f t="shared" si="7"/>
        <v>583.50710900473962</v>
      </c>
      <c r="M8">
        <f t="shared" si="4"/>
        <v>23.88</v>
      </c>
      <c r="N8">
        <f t="shared" si="8"/>
        <v>1.7914691943127963</v>
      </c>
      <c r="O8">
        <f t="shared" si="9"/>
        <v>0.34146919431279632</v>
      </c>
      <c r="P8">
        <f t="shared" si="10"/>
        <v>4.0976303317535558</v>
      </c>
      <c r="Q8">
        <f t="shared" si="11"/>
        <v>409.76303317535559</v>
      </c>
      <c r="R8">
        <f t="shared" si="12"/>
        <v>22.68</v>
      </c>
    </row>
    <row r="9" spans="1:18" x14ac:dyDescent="0.25">
      <c r="A9" t="s">
        <v>101</v>
      </c>
      <c r="B9">
        <v>2.99</v>
      </c>
      <c r="C9">
        <v>2.9</v>
      </c>
      <c r="D9">
        <v>4.49</v>
      </c>
      <c r="E9">
        <v>4.99</v>
      </c>
      <c r="F9">
        <v>5</v>
      </c>
      <c r="G9" s="1">
        <f t="shared" si="5"/>
        <v>28.194302240893411</v>
      </c>
      <c r="H9" s="1">
        <f t="shared" si="6"/>
        <v>36.670497392890056</v>
      </c>
      <c r="I9">
        <f t="shared" si="1"/>
        <v>4.7298578199052139</v>
      </c>
      <c r="J9">
        <f t="shared" si="2"/>
        <v>1.829857819905214</v>
      </c>
      <c r="K9">
        <f t="shared" si="3"/>
        <v>9.1492890995260705</v>
      </c>
      <c r="L9">
        <f t="shared" si="7"/>
        <v>914.928909952607</v>
      </c>
      <c r="M9">
        <f t="shared" si="4"/>
        <v>24.950000000000003</v>
      </c>
      <c r="N9">
        <f t="shared" si="8"/>
        <v>4.2559241706161144</v>
      </c>
      <c r="O9">
        <f t="shared" si="9"/>
        <v>1.2659241706161142</v>
      </c>
      <c r="P9">
        <f t="shared" si="10"/>
        <v>6.3296208530805709</v>
      </c>
      <c r="Q9">
        <f t="shared" si="11"/>
        <v>632.96208530805711</v>
      </c>
      <c r="R9">
        <f t="shared" si="12"/>
        <v>22.450000000000003</v>
      </c>
    </row>
    <row r="10" spans="1:18" x14ac:dyDescent="0.25">
      <c r="A10" t="s">
        <v>15</v>
      </c>
      <c r="B10">
        <v>1.31</v>
      </c>
      <c r="C10">
        <v>1.4</v>
      </c>
      <c r="D10">
        <v>1.99</v>
      </c>
      <c r="E10">
        <v>1.99</v>
      </c>
      <c r="F10">
        <v>60</v>
      </c>
      <c r="G10" s="1">
        <f t="shared" si="5"/>
        <v>28.957584129176691</v>
      </c>
      <c r="H10" s="1">
        <f t="shared" si="6"/>
        <v>24.434971063850064</v>
      </c>
      <c r="I10">
        <f t="shared" si="1"/>
        <v>1.8862559241706163</v>
      </c>
      <c r="J10">
        <f t="shared" si="2"/>
        <v>0.48625592417061636</v>
      </c>
      <c r="K10">
        <f t="shared" si="3"/>
        <v>29.175355450236982</v>
      </c>
      <c r="L10">
        <f t="shared" si="7"/>
        <v>2917.535545023698</v>
      </c>
      <c r="M10">
        <f t="shared" si="4"/>
        <v>119.4</v>
      </c>
      <c r="N10">
        <f t="shared" si="8"/>
        <v>1.8862559241706163</v>
      </c>
      <c r="O10">
        <f t="shared" si="9"/>
        <v>0.57625592417061622</v>
      </c>
      <c r="P10">
        <f t="shared" si="10"/>
        <v>34.57535545023697</v>
      </c>
      <c r="Q10">
        <f t="shared" si="11"/>
        <v>3457.5355450236971</v>
      </c>
      <c r="R10">
        <f t="shared" si="12"/>
        <v>119.4</v>
      </c>
    </row>
    <row r="11" spans="1:18" x14ac:dyDescent="0.25">
      <c r="A11" t="s">
        <v>16</v>
      </c>
      <c r="B11">
        <v>2.79</v>
      </c>
      <c r="C11">
        <v>2.79</v>
      </c>
      <c r="D11">
        <v>3.99</v>
      </c>
      <c r="E11">
        <v>3.99</v>
      </c>
      <c r="F11">
        <v>13.43</v>
      </c>
      <c r="G11" s="1">
        <f t="shared" si="5"/>
        <v>24.86191782774473</v>
      </c>
      <c r="H11" s="1">
        <f t="shared" si="6"/>
        <v>24.86191782774473</v>
      </c>
      <c r="I11">
        <f t="shared" si="1"/>
        <v>3.7819905213270149</v>
      </c>
      <c r="J11">
        <f t="shared" si="2"/>
        <v>0.99199052132701482</v>
      </c>
      <c r="K11">
        <f t="shared" si="3"/>
        <v>13.322432701421809</v>
      </c>
      <c r="L11">
        <f t="shared" si="7"/>
        <v>1332.2432701421808</v>
      </c>
      <c r="M11">
        <f t="shared" si="4"/>
        <v>53.585700000000003</v>
      </c>
      <c r="N11">
        <f t="shared" si="8"/>
        <v>3.7819905213270149</v>
      </c>
      <c r="O11">
        <f t="shared" si="9"/>
        <v>0.99199052132701482</v>
      </c>
      <c r="P11">
        <f t="shared" si="10"/>
        <v>13.322432701421809</v>
      </c>
      <c r="Q11">
        <f t="shared" si="11"/>
        <v>1332.2432701421808</v>
      </c>
      <c r="R11">
        <f t="shared" si="12"/>
        <v>53.585700000000003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12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5.8350710900473963</v>
      </c>
      <c r="L12">
        <f t="shared" si="7"/>
        <v>583.50710900473962</v>
      </c>
      <c r="M12">
        <f t="shared" si="4"/>
        <v>23.88</v>
      </c>
      <c r="N12">
        <f t="shared" si="8"/>
        <v>1.7914691943127963</v>
      </c>
      <c r="O12">
        <f t="shared" si="9"/>
        <v>0.34146919431279632</v>
      </c>
      <c r="P12">
        <f t="shared" si="10"/>
        <v>4.0976303317535558</v>
      </c>
      <c r="Q12">
        <f t="shared" si="11"/>
        <v>409.76303317535559</v>
      </c>
      <c r="R12">
        <f t="shared" si="12"/>
        <v>22.68</v>
      </c>
    </row>
    <row r="13" spans="1:18" x14ac:dyDescent="0.25">
      <c r="G13" s="1" t="e">
        <f t="shared" si="5"/>
        <v>#DIV/0!</v>
      </c>
      <c r="H13" s="1" t="e">
        <f t="shared" si="6"/>
        <v>#DIV/0!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7"/>
        <v>0</v>
      </c>
      <c r="M13">
        <f t="shared" si="4"/>
        <v>0</v>
      </c>
      <c r="N13">
        <f t="shared" si="8"/>
        <v>0</v>
      </c>
      <c r="O13">
        <f t="shared" si="9"/>
        <v>0</v>
      </c>
      <c r="P13">
        <f t="shared" si="10"/>
        <v>0</v>
      </c>
      <c r="Q13">
        <f t="shared" si="11"/>
        <v>0</v>
      </c>
      <c r="R13">
        <f t="shared" si="12"/>
        <v>0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563" priority="188" operator="lessThan">
      <formula>$C$4</formula>
    </cfRule>
  </conditionalFormatting>
  <conditionalFormatting sqref="C4">
    <cfRule type="cellIs" dxfId="562" priority="187" operator="lessThan">
      <formula>$B$4</formula>
    </cfRule>
  </conditionalFormatting>
  <conditionalFormatting sqref="B5">
    <cfRule type="cellIs" dxfId="561" priority="186" operator="lessThan">
      <formula>$C$5</formula>
    </cfRule>
  </conditionalFormatting>
  <conditionalFormatting sqref="C5">
    <cfRule type="cellIs" dxfId="560" priority="185" operator="lessThan">
      <formula>$B$5</formula>
    </cfRule>
  </conditionalFormatting>
  <conditionalFormatting sqref="B6">
    <cfRule type="cellIs" dxfId="559" priority="184" operator="lessThan">
      <formula>$C$6</formula>
    </cfRule>
  </conditionalFormatting>
  <conditionalFormatting sqref="C6">
    <cfRule type="cellIs" dxfId="558" priority="183" operator="lessThan">
      <formula>$B$6</formula>
    </cfRule>
  </conditionalFormatting>
  <conditionalFormatting sqref="B7">
    <cfRule type="cellIs" dxfId="557" priority="182" operator="lessThan">
      <formula>$C$7</formula>
    </cfRule>
  </conditionalFormatting>
  <conditionalFormatting sqref="C7">
    <cfRule type="cellIs" dxfId="556" priority="181" operator="lessThan">
      <formula>$B$7</formula>
    </cfRule>
  </conditionalFormatting>
  <conditionalFormatting sqref="B8">
    <cfRule type="cellIs" dxfId="555" priority="180" operator="lessThan">
      <formula>$C$8</formula>
    </cfRule>
  </conditionalFormatting>
  <conditionalFormatting sqref="C8">
    <cfRule type="cellIs" dxfId="554" priority="179" operator="lessThan">
      <formula>$B$8</formula>
    </cfRule>
  </conditionalFormatting>
  <conditionalFormatting sqref="B9">
    <cfRule type="cellIs" dxfId="553" priority="178" operator="lessThan">
      <formula>$C$9</formula>
    </cfRule>
  </conditionalFormatting>
  <conditionalFormatting sqref="C9">
    <cfRule type="cellIs" dxfId="552" priority="177" operator="lessThan">
      <formula>$B$9</formula>
    </cfRule>
  </conditionalFormatting>
  <conditionalFormatting sqref="B10">
    <cfRule type="cellIs" dxfId="551" priority="176" operator="lessThan">
      <formula>$C$10</formula>
    </cfRule>
  </conditionalFormatting>
  <conditionalFormatting sqref="C10">
    <cfRule type="cellIs" dxfId="550" priority="175" operator="lessThan">
      <formula>$B$10</formula>
    </cfRule>
  </conditionalFormatting>
  <conditionalFormatting sqref="B11">
    <cfRule type="cellIs" dxfId="549" priority="174" operator="lessThan">
      <formula>$C$11</formula>
    </cfRule>
  </conditionalFormatting>
  <conditionalFormatting sqref="C11">
    <cfRule type="cellIs" dxfId="548" priority="173" operator="lessThan">
      <formula>$B$11</formula>
    </cfRule>
  </conditionalFormatting>
  <conditionalFormatting sqref="B12">
    <cfRule type="cellIs" dxfId="547" priority="172" operator="lessThan">
      <formula>$C$12</formula>
    </cfRule>
  </conditionalFormatting>
  <conditionalFormatting sqref="C12">
    <cfRule type="cellIs" dxfId="546" priority="171" operator="lessThan">
      <formula>$B$12</formula>
    </cfRule>
  </conditionalFormatting>
  <conditionalFormatting sqref="B13">
    <cfRule type="cellIs" dxfId="545" priority="170" operator="lessThan">
      <formula>$C$13</formula>
    </cfRule>
  </conditionalFormatting>
  <conditionalFormatting sqref="C13">
    <cfRule type="cellIs" dxfId="544" priority="169" operator="lessThan">
      <formula>$B$13</formula>
    </cfRule>
  </conditionalFormatting>
  <conditionalFormatting sqref="B14">
    <cfRule type="cellIs" dxfId="543" priority="168" operator="lessThan">
      <formula>$C$14</formula>
    </cfRule>
  </conditionalFormatting>
  <conditionalFormatting sqref="C14">
    <cfRule type="cellIs" dxfId="542" priority="167" operator="lessThan">
      <formula>$B$14</formula>
    </cfRule>
  </conditionalFormatting>
  <conditionalFormatting sqref="B15">
    <cfRule type="cellIs" dxfId="541" priority="166" operator="lessThan">
      <formula>$C$15</formula>
    </cfRule>
  </conditionalFormatting>
  <conditionalFormatting sqref="C15">
    <cfRule type="cellIs" dxfId="540" priority="165" operator="lessThan">
      <formula>$B$15</formula>
    </cfRule>
  </conditionalFormatting>
  <conditionalFormatting sqref="B16">
    <cfRule type="cellIs" dxfId="539" priority="164" operator="lessThan">
      <formula>$C$16</formula>
    </cfRule>
  </conditionalFormatting>
  <conditionalFormatting sqref="C16">
    <cfRule type="cellIs" dxfId="538" priority="163" operator="lessThan">
      <formula>$B$16</formula>
    </cfRule>
  </conditionalFormatting>
  <conditionalFormatting sqref="B17">
    <cfRule type="cellIs" dxfId="537" priority="162" operator="lessThan">
      <formula>$C$17</formula>
    </cfRule>
  </conditionalFormatting>
  <conditionalFormatting sqref="C17">
    <cfRule type="cellIs" dxfId="536" priority="161" operator="lessThan">
      <formula>$B$17</formula>
    </cfRule>
  </conditionalFormatting>
  <conditionalFormatting sqref="B18">
    <cfRule type="cellIs" dxfId="535" priority="160" operator="lessThan">
      <formula>$C$18</formula>
    </cfRule>
  </conditionalFormatting>
  <conditionalFormatting sqref="C18">
    <cfRule type="cellIs" dxfId="534" priority="159" operator="lessThan">
      <formula>$B$18</formula>
    </cfRule>
  </conditionalFormatting>
  <conditionalFormatting sqref="C19">
    <cfRule type="cellIs" dxfId="533" priority="158" operator="lessThan">
      <formula>$B$19</formula>
    </cfRule>
  </conditionalFormatting>
  <conditionalFormatting sqref="B19">
    <cfRule type="cellIs" dxfId="532" priority="157" operator="lessThan">
      <formula>$C$19</formula>
    </cfRule>
  </conditionalFormatting>
  <conditionalFormatting sqref="B20">
    <cfRule type="cellIs" dxfId="531" priority="156" operator="lessThan">
      <formula>$C$20</formula>
    </cfRule>
  </conditionalFormatting>
  <conditionalFormatting sqref="C20">
    <cfRule type="cellIs" dxfId="530" priority="155" operator="lessThan">
      <formula>$B$20</formula>
    </cfRule>
  </conditionalFormatting>
  <conditionalFormatting sqref="B21">
    <cfRule type="cellIs" dxfId="529" priority="154" operator="lessThan">
      <formula>$C$21</formula>
    </cfRule>
  </conditionalFormatting>
  <conditionalFormatting sqref="C21">
    <cfRule type="cellIs" dxfId="528" priority="153" operator="lessThan">
      <formula>$B$21</formula>
    </cfRule>
  </conditionalFormatting>
  <conditionalFormatting sqref="B22">
    <cfRule type="cellIs" dxfId="527" priority="152" operator="lessThan">
      <formula>$C$22</formula>
    </cfRule>
  </conditionalFormatting>
  <conditionalFormatting sqref="C22">
    <cfRule type="cellIs" dxfId="526" priority="151" operator="lessThan">
      <formula>$B$22</formula>
    </cfRule>
  </conditionalFormatting>
  <conditionalFormatting sqref="B23">
    <cfRule type="cellIs" dxfId="525" priority="150" operator="lessThan">
      <formula>$C$23</formula>
    </cfRule>
  </conditionalFormatting>
  <conditionalFormatting sqref="C23">
    <cfRule type="cellIs" dxfId="524" priority="149" operator="lessThan">
      <formula>$B$23</formula>
    </cfRule>
  </conditionalFormatting>
  <conditionalFormatting sqref="B24">
    <cfRule type="cellIs" dxfId="523" priority="148" operator="lessThan">
      <formula>$C$24</formula>
    </cfRule>
  </conditionalFormatting>
  <conditionalFormatting sqref="C24">
    <cfRule type="cellIs" dxfId="522" priority="147" operator="lessThan">
      <formula>$B$24</formula>
    </cfRule>
  </conditionalFormatting>
  <conditionalFormatting sqref="B25">
    <cfRule type="cellIs" dxfId="521" priority="146" operator="lessThan">
      <formula>$C$25</formula>
    </cfRule>
  </conditionalFormatting>
  <conditionalFormatting sqref="C25">
    <cfRule type="cellIs" dxfId="520" priority="145" operator="lessThan">
      <formula>$B$25</formula>
    </cfRule>
  </conditionalFormatting>
  <conditionalFormatting sqref="B26">
    <cfRule type="cellIs" dxfId="519" priority="144" operator="lessThan">
      <formula>$C$26</formula>
    </cfRule>
  </conditionalFormatting>
  <conditionalFormatting sqref="C26">
    <cfRule type="cellIs" dxfId="518" priority="143" operator="lessThan">
      <formula>$B$26</formula>
    </cfRule>
  </conditionalFormatting>
  <conditionalFormatting sqref="B27">
    <cfRule type="cellIs" dxfId="517" priority="142" operator="lessThan">
      <formula>$C$27</formula>
    </cfRule>
  </conditionalFormatting>
  <conditionalFormatting sqref="C27">
    <cfRule type="cellIs" dxfId="516" priority="141" operator="lessThan">
      <formula>$B$27</formula>
    </cfRule>
  </conditionalFormatting>
  <conditionalFormatting sqref="B28">
    <cfRule type="cellIs" dxfId="515" priority="140" operator="lessThan">
      <formula>$C$28</formula>
    </cfRule>
  </conditionalFormatting>
  <conditionalFormatting sqref="C28">
    <cfRule type="cellIs" dxfId="514" priority="139" operator="lessThan">
      <formula>$B$28</formula>
    </cfRule>
  </conditionalFormatting>
  <conditionalFormatting sqref="B29">
    <cfRule type="cellIs" dxfId="513" priority="138" operator="lessThan">
      <formula>$C$29</formula>
    </cfRule>
  </conditionalFormatting>
  <conditionalFormatting sqref="C29">
    <cfRule type="cellIs" dxfId="512" priority="137" operator="lessThan">
      <formula>$B$29</formula>
    </cfRule>
  </conditionalFormatting>
  <conditionalFormatting sqref="B30">
    <cfRule type="cellIs" dxfId="511" priority="136" operator="lessThan">
      <formula>$C$30</formula>
    </cfRule>
  </conditionalFormatting>
  <conditionalFormatting sqref="C30">
    <cfRule type="cellIs" dxfId="510" priority="135" operator="lessThan">
      <formula>$B$30</formula>
    </cfRule>
  </conditionalFormatting>
  <conditionalFormatting sqref="B31">
    <cfRule type="cellIs" dxfId="509" priority="134" operator="lessThan">
      <formula>$C$31</formula>
    </cfRule>
  </conditionalFormatting>
  <conditionalFormatting sqref="C31">
    <cfRule type="cellIs" dxfId="508" priority="133" operator="lessThan">
      <formula>$B$31</formula>
    </cfRule>
  </conditionalFormatting>
  <conditionalFormatting sqref="B32">
    <cfRule type="cellIs" dxfId="507" priority="132" operator="lessThan">
      <formula>$C$32</formula>
    </cfRule>
  </conditionalFormatting>
  <conditionalFormatting sqref="C32">
    <cfRule type="cellIs" dxfId="506" priority="131" operator="lessThan">
      <formula>$B$32</formula>
    </cfRule>
  </conditionalFormatting>
  <conditionalFormatting sqref="B33">
    <cfRule type="cellIs" dxfId="505" priority="130" operator="lessThan">
      <formula>$C$33</formula>
    </cfRule>
  </conditionalFormatting>
  <conditionalFormatting sqref="C33">
    <cfRule type="cellIs" dxfId="504" priority="129" operator="lessThan">
      <formula>$B$33</formula>
    </cfRule>
  </conditionalFormatting>
  <conditionalFormatting sqref="B34">
    <cfRule type="cellIs" dxfId="503" priority="128" operator="lessThan">
      <formula>$C$34</formula>
    </cfRule>
  </conditionalFormatting>
  <conditionalFormatting sqref="C34">
    <cfRule type="cellIs" dxfId="502" priority="127" operator="lessThan">
      <formula>$B$34</formula>
    </cfRule>
  </conditionalFormatting>
  <conditionalFormatting sqref="B35">
    <cfRule type="cellIs" dxfId="501" priority="126" operator="lessThan">
      <formula>$C$35</formula>
    </cfRule>
  </conditionalFormatting>
  <conditionalFormatting sqref="C35">
    <cfRule type="cellIs" dxfId="500" priority="125" operator="lessThan">
      <formula>$B$35</formula>
    </cfRule>
  </conditionalFormatting>
  <conditionalFormatting sqref="B36">
    <cfRule type="cellIs" dxfId="499" priority="124" operator="lessThan">
      <formula>$C$36</formula>
    </cfRule>
  </conditionalFormatting>
  <conditionalFormatting sqref="C36">
    <cfRule type="cellIs" dxfId="498" priority="123" operator="lessThan">
      <formula>$B$36</formula>
    </cfRule>
  </conditionalFormatting>
  <conditionalFormatting sqref="B37">
    <cfRule type="cellIs" dxfId="497" priority="122" operator="lessThan">
      <formula>$C$37</formula>
    </cfRule>
  </conditionalFormatting>
  <conditionalFormatting sqref="C37">
    <cfRule type="cellIs" dxfId="496" priority="121" operator="lessThan">
      <formula>$B$37</formula>
    </cfRule>
  </conditionalFormatting>
  <conditionalFormatting sqref="B38">
    <cfRule type="cellIs" dxfId="495" priority="120" operator="lessThan">
      <formula>$C$38</formula>
    </cfRule>
  </conditionalFormatting>
  <conditionalFormatting sqref="C38">
    <cfRule type="cellIs" dxfId="494" priority="119" operator="lessThan">
      <formula>$B$38</formula>
    </cfRule>
  </conditionalFormatting>
  <conditionalFormatting sqref="B39">
    <cfRule type="cellIs" dxfId="493" priority="118" operator="lessThan">
      <formula>$C$39</formula>
    </cfRule>
  </conditionalFormatting>
  <conditionalFormatting sqref="C39">
    <cfRule type="cellIs" dxfId="492" priority="117" operator="lessThan">
      <formula>$B$39</formula>
    </cfRule>
  </conditionalFormatting>
  <conditionalFormatting sqref="B40">
    <cfRule type="cellIs" dxfId="491" priority="116" operator="lessThan">
      <formula>$C$40</formula>
    </cfRule>
  </conditionalFormatting>
  <conditionalFormatting sqref="C40">
    <cfRule type="cellIs" dxfId="490" priority="115" operator="lessThan">
      <formula>$B$40</formula>
    </cfRule>
  </conditionalFormatting>
  <conditionalFormatting sqref="B41">
    <cfRule type="cellIs" dxfId="489" priority="114" operator="lessThan">
      <formula>$C$41</formula>
    </cfRule>
  </conditionalFormatting>
  <conditionalFormatting sqref="C41">
    <cfRule type="cellIs" dxfId="488" priority="113" operator="lessThan">
      <formula>$B$41</formula>
    </cfRule>
  </conditionalFormatting>
  <conditionalFormatting sqref="B42">
    <cfRule type="cellIs" dxfId="487" priority="112" operator="lessThan">
      <formula>$C$42</formula>
    </cfRule>
  </conditionalFormatting>
  <conditionalFormatting sqref="C42">
    <cfRule type="cellIs" dxfId="486" priority="111" operator="lessThan">
      <formula>$B$42</formula>
    </cfRule>
  </conditionalFormatting>
  <conditionalFormatting sqref="B43">
    <cfRule type="cellIs" dxfId="485" priority="110" operator="lessThan">
      <formula>$C$43</formula>
    </cfRule>
  </conditionalFormatting>
  <conditionalFormatting sqref="C43">
    <cfRule type="cellIs" dxfId="484" priority="109" operator="lessThan">
      <formula>$B$43</formula>
    </cfRule>
  </conditionalFormatting>
  <conditionalFormatting sqref="B44">
    <cfRule type="cellIs" dxfId="483" priority="108" operator="lessThan">
      <formula>$C$44</formula>
    </cfRule>
  </conditionalFormatting>
  <conditionalFormatting sqref="C44">
    <cfRule type="cellIs" dxfId="482" priority="107" operator="lessThan">
      <formula>$B$44</formula>
    </cfRule>
  </conditionalFormatting>
  <conditionalFormatting sqref="B45">
    <cfRule type="cellIs" dxfId="481" priority="106" operator="lessThan">
      <formula>$C$45</formula>
    </cfRule>
  </conditionalFormatting>
  <conditionalFormatting sqref="C45">
    <cfRule type="cellIs" dxfId="480" priority="105" operator="lessThan">
      <formula>$B$45</formula>
    </cfRule>
  </conditionalFormatting>
  <conditionalFormatting sqref="B46">
    <cfRule type="cellIs" dxfId="479" priority="104" operator="lessThan">
      <formula>$C$46</formula>
    </cfRule>
  </conditionalFormatting>
  <conditionalFormatting sqref="C46">
    <cfRule type="cellIs" dxfId="478" priority="103" operator="lessThan">
      <formula>$B$46</formula>
    </cfRule>
  </conditionalFormatting>
  <conditionalFormatting sqref="B47">
    <cfRule type="cellIs" dxfId="477" priority="102" operator="lessThan">
      <formula>$C$47</formula>
    </cfRule>
  </conditionalFormatting>
  <conditionalFormatting sqref="C47">
    <cfRule type="cellIs" dxfId="476" priority="101" operator="lessThan">
      <formula>$B$47</formula>
    </cfRule>
  </conditionalFormatting>
  <conditionalFormatting sqref="B48">
    <cfRule type="cellIs" dxfId="475" priority="100" operator="lessThan">
      <formula>$C$48</formula>
    </cfRule>
  </conditionalFormatting>
  <conditionalFormatting sqref="C48">
    <cfRule type="cellIs" dxfId="474" priority="99" operator="lessThan">
      <formula>$B$48</formula>
    </cfRule>
  </conditionalFormatting>
  <conditionalFormatting sqref="B49">
    <cfRule type="cellIs" dxfId="473" priority="98" operator="lessThan">
      <formula>$C$49</formula>
    </cfRule>
  </conditionalFormatting>
  <conditionalFormatting sqref="C49">
    <cfRule type="cellIs" dxfId="472" priority="97" operator="lessThan">
      <formula>$B$49</formula>
    </cfRule>
  </conditionalFormatting>
  <conditionalFormatting sqref="B50">
    <cfRule type="cellIs" dxfId="471" priority="96" operator="lessThan">
      <formula>$C$50</formula>
    </cfRule>
  </conditionalFormatting>
  <conditionalFormatting sqref="C50">
    <cfRule type="cellIs" dxfId="470" priority="95" operator="lessThan">
      <formula>$B$50</formula>
    </cfRule>
  </conditionalFormatting>
  <conditionalFormatting sqref="D4">
    <cfRule type="cellIs" dxfId="469" priority="94" operator="lessThan">
      <formula>$E$4</formula>
    </cfRule>
  </conditionalFormatting>
  <conditionalFormatting sqref="E4">
    <cfRule type="cellIs" dxfId="468" priority="93" operator="lessThan">
      <formula>$D$4</formula>
    </cfRule>
  </conditionalFormatting>
  <conditionalFormatting sqref="D5">
    <cfRule type="cellIs" dxfId="467" priority="92" operator="lessThan">
      <formula>$E$5</formula>
    </cfRule>
  </conditionalFormatting>
  <conditionalFormatting sqref="E5">
    <cfRule type="cellIs" dxfId="466" priority="91" operator="lessThan">
      <formula>$D$5</formula>
    </cfRule>
  </conditionalFormatting>
  <conditionalFormatting sqref="D6">
    <cfRule type="cellIs" dxfId="465" priority="90" operator="lessThan">
      <formula>$E$6</formula>
    </cfRule>
  </conditionalFormatting>
  <conditionalFormatting sqref="E6">
    <cfRule type="cellIs" dxfId="464" priority="89" operator="lessThan">
      <formula>$D$6</formula>
    </cfRule>
  </conditionalFormatting>
  <conditionalFormatting sqref="D7">
    <cfRule type="cellIs" dxfId="463" priority="88" operator="lessThan">
      <formula>$E$7</formula>
    </cfRule>
  </conditionalFormatting>
  <conditionalFormatting sqref="E7">
    <cfRule type="cellIs" dxfId="462" priority="87" operator="lessThan">
      <formula>$D$7</formula>
    </cfRule>
  </conditionalFormatting>
  <conditionalFormatting sqref="D8">
    <cfRule type="cellIs" dxfId="461" priority="86" operator="lessThan">
      <formula>$E$8</formula>
    </cfRule>
  </conditionalFormatting>
  <conditionalFormatting sqref="E8">
    <cfRule type="cellIs" dxfId="460" priority="85" operator="lessThan">
      <formula>$D$8</formula>
    </cfRule>
  </conditionalFormatting>
  <conditionalFormatting sqref="D9">
    <cfRule type="cellIs" dxfId="459" priority="84" operator="lessThan">
      <formula>$E$9</formula>
    </cfRule>
  </conditionalFormatting>
  <conditionalFormatting sqref="E9">
    <cfRule type="cellIs" dxfId="458" priority="83" operator="lessThan">
      <formula>$D$9</formula>
    </cfRule>
  </conditionalFormatting>
  <conditionalFormatting sqref="D10">
    <cfRule type="cellIs" dxfId="457" priority="82" operator="lessThan">
      <formula>$E$10</formula>
    </cfRule>
  </conditionalFormatting>
  <conditionalFormatting sqref="E10">
    <cfRule type="cellIs" dxfId="456" priority="81" operator="lessThan">
      <formula>$D$10</formula>
    </cfRule>
  </conditionalFormatting>
  <conditionalFormatting sqref="D11">
    <cfRule type="cellIs" dxfId="455" priority="80" operator="lessThan">
      <formula>$E$11</formula>
    </cfRule>
  </conditionalFormatting>
  <conditionalFormatting sqref="E11">
    <cfRule type="cellIs" dxfId="454" priority="79" operator="lessThan">
      <formula>$D$11</formula>
    </cfRule>
  </conditionalFormatting>
  <conditionalFormatting sqref="D12">
    <cfRule type="cellIs" dxfId="453" priority="78" operator="lessThan">
      <formula>$E$12</formula>
    </cfRule>
  </conditionalFormatting>
  <conditionalFormatting sqref="E12">
    <cfRule type="cellIs" dxfId="452" priority="77" operator="lessThan">
      <formula>$D$12</formula>
    </cfRule>
  </conditionalFormatting>
  <conditionalFormatting sqref="D13">
    <cfRule type="cellIs" dxfId="451" priority="76" operator="lessThan">
      <formula>$E$13</formula>
    </cfRule>
  </conditionalFormatting>
  <conditionalFormatting sqref="E13">
    <cfRule type="cellIs" dxfId="450" priority="75" operator="lessThan">
      <formula>$D$13</formula>
    </cfRule>
  </conditionalFormatting>
  <conditionalFormatting sqref="D14">
    <cfRule type="cellIs" dxfId="449" priority="74" operator="lessThan">
      <formula>$E$14</formula>
    </cfRule>
  </conditionalFormatting>
  <conditionalFormatting sqref="E14">
    <cfRule type="cellIs" dxfId="448" priority="73" operator="lessThan">
      <formula>$D$14</formula>
    </cfRule>
  </conditionalFormatting>
  <conditionalFormatting sqref="D15">
    <cfRule type="cellIs" dxfId="447" priority="72" operator="lessThan">
      <formula>$E$15</formula>
    </cfRule>
  </conditionalFormatting>
  <conditionalFormatting sqref="E15">
    <cfRule type="cellIs" dxfId="446" priority="71" operator="lessThan">
      <formula>$D$15</formula>
    </cfRule>
  </conditionalFormatting>
  <conditionalFormatting sqref="D16">
    <cfRule type="cellIs" dxfId="445" priority="70" operator="lessThan">
      <formula>$E$16</formula>
    </cfRule>
  </conditionalFormatting>
  <conditionalFormatting sqref="E16">
    <cfRule type="cellIs" dxfId="444" priority="69" operator="lessThan">
      <formula>$D$16</formula>
    </cfRule>
  </conditionalFormatting>
  <conditionalFormatting sqref="D17">
    <cfRule type="cellIs" dxfId="443" priority="68" operator="lessThan">
      <formula>$E$17</formula>
    </cfRule>
  </conditionalFormatting>
  <conditionalFormatting sqref="E17">
    <cfRule type="cellIs" dxfId="442" priority="67" operator="lessThan">
      <formula>$D$17</formula>
    </cfRule>
  </conditionalFormatting>
  <conditionalFormatting sqref="D18">
    <cfRule type="cellIs" dxfId="441" priority="66" operator="lessThan">
      <formula>$E$18</formula>
    </cfRule>
  </conditionalFormatting>
  <conditionalFormatting sqref="E18">
    <cfRule type="cellIs" dxfId="440" priority="65" operator="lessThan">
      <formula>$D$18</formula>
    </cfRule>
  </conditionalFormatting>
  <conditionalFormatting sqref="D19">
    <cfRule type="cellIs" dxfId="439" priority="64" operator="lessThan">
      <formula>$E$19</formula>
    </cfRule>
  </conditionalFormatting>
  <conditionalFormatting sqref="E19">
    <cfRule type="cellIs" dxfId="438" priority="63" operator="lessThan">
      <formula>$D$19</formula>
    </cfRule>
  </conditionalFormatting>
  <conditionalFormatting sqref="D20">
    <cfRule type="cellIs" dxfId="437" priority="62" operator="lessThan">
      <formula>$E$20</formula>
    </cfRule>
  </conditionalFormatting>
  <conditionalFormatting sqref="E20">
    <cfRule type="cellIs" dxfId="436" priority="61" operator="lessThan">
      <formula>$D$20</formula>
    </cfRule>
  </conditionalFormatting>
  <conditionalFormatting sqref="D21">
    <cfRule type="cellIs" dxfId="435" priority="60" operator="lessThan">
      <formula>$E$21</formula>
    </cfRule>
  </conditionalFormatting>
  <conditionalFormatting sqref="E21">
    <cfRule type="cellIs" dxfId="434" priority="59" operator="lessThan">
      <formula>$D$21</formula>
    </cfRule>
  </conditionalFormatting>
  <conditionalFormatting sqref="D22">
    <cfRule type="cellIs" dxfId="433" priority="58" operator="lessThan">
      <formula>$E$22</formula>
    </cfRule>
  </conditionalFormatting>
  <conditionalFormatting sqref="E22">
    <cfRule type="cellIs" dxfId="432" priority="57" operator="lessThan">
      <formula>$D$22</formula>
    </cfRule>
  </conditionalFormatting>
  <conditionalFormatting sqref="D23">
    <cfRule type="cellIs" dxfId="431" priority="56" operator="lessThan">
      <formula>$E$23</formula>
    </cfRule>
  </conditionalFormatting>
  <conditionalFormatting sqref="E23">
    <cfRule type="cellIs" dxfId="430" priority="55" operator="lessThan">
      <formula>$D$23</formula>
    </cfRule>
  </conditionalFormatting>
  <conditionalFormatting sqref="D24">
    <cfRule type="cellIs" dxfId="429" priority="54" operator="lessThan">
      <formula>$E$24</formula>
    </cfRule>
  </conditionalFormatting>
  <conditionalFormatting sqref="E24">
    <cfRule type="cellIs" dxfId="428" priority="53" operator="lessThan">
      <formula>$D$24</formula>
    </cfRule>
  </conditionalFormatting>
  <conditionalFormatting sqref="D25">
    <cfRule type="cellIs" dxfId="427" priority="52" operator="lessThan">
      <formula>$E$25</formula>
    </cfRule>
  </conditionalFormatting>
  <conditionalFormatting sqref="E25">
    <cfRule type="cellIs" dxfId="426" priority="51" operator="lessThan">
      <formula>$D$25</formula>
    </cfRule>
  </conditionalFormatting>
  <conditionalFormatting sqref="D26">
    <cfRule type="cellIs" dxfId="425" priority="50" operator="lessThan">
      <formula>$E$26</formula>
    </cfRule>
  </conditionalFormatting>
  <conditionalFormatting sqref="E26">
    <cfRule type="cellIs" dxfId="424" priority="49" operator="lessThan">
      <formula>$D$26</formula>
    </cfRule>
  </conditionalFormatting>
  <conditionalFormatting sqref="D27">
    <cfRule type="cellIs" dxfId="423" priority="48" operator="lessThan">
      <formula>$E$27</formula>
    </cfRule>
  </conditionalFormatting>
  <conditionalFormatting sqref="E27">
    <cfRule type="cellIs" dxfId="422" priority="47" operator="lessThan">
      <formula>$D$27</formula>
    </cfRule>
  </conditionalFormatting>
  <conditionalFormatting sqref="D28">
    <cfRule type="cellIs" dxfId="421" priority="46" operator="lessThan">
      <formula>$E$28</formula>
    </cfRule>
  </conditionalFormatting>
  <conditionalFormatting sqref="E28">
    <cfRule type="cellIs" dxfId="420" priority="45" operator="lessThan">
      <formula>$D$28</formula>
    </cfRule>
  </conditionalFormatting>
  <conditionalFormatting sqref="D29">
    <cfRule type="cellIs" dxfId="419" priority="44" operator="lessThan">
      <formula>$E$29</formula>
    </cfRule>
  </conditionalFormatting>
  <conditionalFormatting sqref="E29">
    <cfRule type="cellIs" dxfId="418" priority="43" operator="lessThan">
      <formula>$D$29</formula>
    </cfRule>
  </conditionalFormatting>
  <conditionalFormatting sqref="D30">
    <cfRule type="cellIs" dxfId="417" priority="42" operator="lessThan">
      <formula>$E$30</formula>
    </cfRule>
  </conditionalFormatting>
  <conditionalFormatting sqref="E30">
    <cfRule type="cellIs" dxfId="416" priority="41" operator="lessThan">
      <formula>$D$30</formula>
    </cfRule>
  </conditionalFormatting>
  <conditionalFormatting sqref="D31">
    <cfRule type="cellIs" dxfId="415" priority="40" operator="lessThan">
      <formula>$E$31</formula>
    </cfRule>
  </conditionalFormatting>
  <conditionalFormatting sqref="E31">
    <cfRule type="cellIs" dxfId="414" priority="39" operator="lessThan">
      <formula>$D$31</formula>
    </cfRule>
  </conditionalFormatting>
  <conditionalFormatting sqref="D32">
    <cfRule type="cellIs" dxfId="413" priority="38" operator="lessThan">
      <formula>$E$32</formula>
    </cfRule>
  </conditionalFormatting>
  <conditionalFormatting sqref="E32">
    <cfRule type="cellIs" dxfId="412" priority="37" operator="lessThan">
      <formula>$D$32</formula>
    </cfRule>
  </conditionalFormatting>
  <conditionalFormatting sqref="D33">
    <cfRule type="cellIs" dxfId="411" priority="36" operator="lessThan">
      <formula>$E$33</formula>
    </cfRule>
  </conditionalFormatting>
  <conditionalFormatting sqref="E33">
    <cfRule type="cellIs" dxfId="410" priority="35" operator="lessThan">
      <formula>$D$33</formula>
    </cfRule>
  </conditionalFormatting>
  <conditionalFormatting sqref="D34">
    <cfRule type="cellIs" dxfId="409" priority="34" operator="lessThan">
      <formula>$E$34</formula>
    </cfRule>
  </conditionalFormatting>
  <conditionalFormatting sqref="E34">
    <cfRule type="cellIs" dxfId="408" priority="33" operator="lessThan">
      <formula>$D$34</formula>
    </cfRule>
  </conditionalFormatting>
  <conditionalFormatting sqref="D35">
    <cfRule type="cellIs" dxfId="407" priority="32" operator="lessThan">
      <formula>$E$35</formula>
    </cfRule>
  </conditionalFormatting>
  <conditionalFormatting sqref="E35">
    <cfRule type="cellIs" dxfId="406" priority="31" operator="lessThan">
      <formula>$D$35</formula>
    </cfRule>
  </conditionalFormatting>
  <conditionalFormatting sqref="D36">
    <cfRule type="cellIs" dxfId="405" priority="30" operator="lessThan">
      <formula>$E$36</formula>
    </cfRule>
  </conditionalFormatting>
  <conditionalFormatting sqref="E36">
    <cfRule type="cellIs" dxfId="404" priority="29" operator="lessThan">
      <formula>$D$36</formula>
    </cfRule>
  </conditionalFormatting>
  <conditionalFormatting sqref="D37">
    <cfRule type="cellIs" dxfId="403" priority="28" operator="lessThan">
      <formula>$E$37</formula>
    </cfRule>
  </conditionalFormatting>
  <conditionalFormatting sqref="E37">
    <cfRule type="cellIs" dxfId="402" priority="27" operator="lessThan">
      <formula>$D$37</formula>
    </cfRule>
  </conditionalFormatting>
  <conditionalFormatting sqref="D38">
    <cfRule type="cellIs" dxfId="401" priority="26" operator="lessThan">
      <formula>$E$38</formula>
    </cfRule>
  </conditionalFormatting>
  <conditionalFormatting sqref="E38">
    <cfRule type="cellIs" dxfId="400" priority="25" operator="lessThan">
      <formula>$D$38</formula>
    </cfRule>
  </conditionalFormatting>
  <conditionalFormatting sqref="D39">
    <cfRule type="cellIs" dxfId="399" priority="24" operator="lessThan">
      <formula>$E$39</formula>
    </cfRule>
  </conditionalFormatting>
  <conditionalFormatting sqref="E39">
    <cfRule type="cellIs" dxfId="398" priority="23" operator="lessThan">
      <formula>$D$39</formula>
    </cfRule>
  </conditionalFormatting>
  <conditionalFormatting sqref="D40">
    <cfRule type="cellIs" dxfId="397" priority="22" operator="lessThan">
      <formula>$E$40</formula>
    </cfRule>
  </conditionalFormatting>
  <conditionalFormatting sqref="E40">
    <cfRule type="cellIs" dxfId="396" priority="21" operator="lessThan">
      <formula>$D$40</formula>
    </cfRule>
  </conditionalFormatting>
  <conditionalFormatting sqref="D41">
    <cfRule type="cellIs" dxfId="395" priority="20" operator="lessThan">
      <formula>$E$41</formula>
    </cfRule>
  </conditionalFormatting>
  <conditionalFormatting sqref="E41">
    <cfRule type="cellIs" dxfId="394" priority="19" operator="lessThan">
      <formula>$D$41</formula>
    </cfRule>
  </conditionalFormatting>
  <conditionalFormatting sqref="D42">
    <cfRule type="cellIs" dxfId="393" priority="18" operator="lessThan">
      <formula>$E$42</formula>
    </cfRule>
  </conditionalFormatting>
  <conditionalFormatting sqref="E42">
    <cfRule type="cellIs" dxfId="392" priority="17" operator="lessThan">
      <formula>$D$42</formula>
    </cfRule>
  </conditionalFormatting>
  <conditionalFormatting sqref="D43">
    <cfRule type="cellIs" dxfId="391" priority="16" operator="lessThan">
      <formula>$E$43</formula>
    </cfRule>
  </conditionalFormatting>
  <conditionalFormatting sqref="E43">
    <cfRule type="cellIs" dxfId="390" priority="15" operator="lessThan">
      <formula>$D$43</formula>
    </cfRule>
  </conditionalFormatting>
  <conditionalFormatting sqref="D44">
    <cfRule type="cellIs" dxfId="389" priority="14" operator="lessThan">
      <formula>$E$44</formula>
    </cfRule>
  </conditionalFormatting>
  <conditionalFormatting sqref="E44">
    <cfRule type="cellIs" dxfId="388" priority="13" operator="lessThan">
      <formula>$D$44</formula>
    </cfRule>
  </conditionalFormatting>
  <conditionalFormatting sqref="D45">
    <cfRule type="cellIs" dxfId="387" priority="12" operator="lessThan">
      <formula>$E$45</formula>
    </cfRule>
  </conditionalFormatting>
  <conditionalFormatting sqref="E45">
    <cfRule type="cellIs" dxfId="386" priority="11" operator="lessThan">
      <formula>$D$45</formula>
    </cfRule>
  </conditionalFormatting>
  <conditionalFormatting sqref="D46">
    <cfRule type="cellIs" dxfId="385" priority="10" operator="lessThan">
      <formula>$E$46</formula>
    </cfRule>
  </conditionalFormatting>
  <conditionalFormatting sqref="E46">
    <cfRule type="cellIs" dxfId="384" priority="9" operator="lessThan">
      <formula>$D$46</formula>
    </cfRule>
  </conditionalFormatting>
  <conditionalFormatting sqref="D47">
    <cfRule type="cellIs" dxfId="383" priority="8" operator="lessThan">
      <formula>$E$47</formula>
    </cfRule>
  </conditionalFormatting>
  <conditionalFormatting sqref="E47">
    <cfRule type="cellIs" dxfId="382" priority="7" operator="lessThan">
      <formula>$D$47</formula>
    </cfRule>
  </conditionalFormatting>
  <conditionalFormatting sqref="D48">
    <cfRule type="cellIs" dxfId="381" priority="6" operator="lessThan">
      <formula>$E$48</formula>
    </cfRule>
  </conditionalFormatting>
  <conditionalFormatting sqref="E48">
    <cfRule type="cellIs" dxfId="380" priority="5" operator="lessThan">
      <formula>$D$48</formula>
    </cfRule>
  </conditionalFormatting>
  <conditionalFormatting sqref="D49">
    <cfRule type="cellIs" dxfId="379" priority="4" operator="lessThan">
      <formula>$E$49</formula>
    </cfRule>
  </conditionalFormatting>
  <conditionalFormatting sqref="E49">
    <cfRule type="cellIs" dxfId="378" priority="3" operator="lessThan">
      <formula>$D$49</formula>
    </cfRule>
  </conditionalFormatting>
  <conditionalFormatting sqref="D50">
    <cfRule type="cellIs" dxfId="377" priority="2" operator="lessThan">
      <formula>$E$50</formula>
    </cfRule>
  </conditionalFormatting>
  <conditionalFormatting sqref="E50">
    <cfRule type="cellIs" dxfId="376" priority="1" operator="lessThan">
      <formula>$D$50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workbookViewId="0">
      <selection activeCell="E8" sqref="E8"/>
    </sheetView>
  </sheetViews>
  <sheetFormatPr baseColWidth="10" defaultRowHeight="15" x14ac:dyDescent="0.25"/>
  <sheetData>
    <row r="1" spans="1:18" x14ac:dyDescent="0.25">
      <c r="A1" s="1"/>
      <c r="B1" s="2">
        <f>AVERAGE(B4:B38)</f>
        <v>2.2829999999999999</v>
      </c>
      <c r="C1" s="2">
        <f>AVERAGE(C4:C30)</f>
        <v>2.008</v>
      </c>
      <c r="D1" s="2">
        <f>AVERAGE(D4:D60)</f>
        <v>3.3400000000000007</v>
      </c>
      <c r="E1" s="2">
        <f>AVERAGE(E4:E60)</f>
        <v>3.5199999999999996</v>
      </c>
      <c r="F1" s="1">
        <f>SUM(F4:F50)</f>
        <v>212.43</v>
      </c>
      <c r="G1" s="1">
        <f>D1-E1</f>
        <v>-0.17999999999999883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3" t="s">
        <v>6</v>
      </c>
      <c r="H2" s="3" t="s">
        <v>7</v>
      </c>
      <c r="I2" s="4" t="s">
        <v>8</v>
      </c>
      <c r="J2" s="4"/>
      <c r="K2" s="4"/>
      <c r="L2" s="4"/>
      <c r="M2" s="4"/>
      <c r="N2" s="4" t="s">
        <v>6</v>
      </c>
      <c r="O2" s="4"/>
      <c r="P2" s="4"/>
      <c r="Q2" s="4"/>
      <c r="R2" s="4"/>
    </row>
    <row r="3" spans="1:18" x14ac:dyDescent="0.25">
      <c r="G3" s="2">
        <f>Q3/R3</f>
        <v>25.306193615840645</v>
      </c>
      <c r="H3" s="2">
        <f>L3/M3</f>
        <v>34.740793591385206</v>
      </c>
      <c r="I3" s="4">
        <f t="shared" ref="I3:R3" si="0">SUM(I4:I50)</f>
        <v>33.36492890995261</v>
      </c>
      <c r="J3" s="4">
        <f t="shared" si="0"/>
        <v>13.284928909952615</v>
      </c>
      <c r="K3" s="4">
        <f t="shared" si="0"/>
        <v>190.7949445497631</v>
      </c>
      <c r="L3" s="4">
        <f t="shared" si="0"/>
        <v>19079.494454976313</v>
      </c>
      <c r="M3" s="4">
        <f t="shared" si="0"/>
        <v>549.19569999999999</v>
      </c>
      <c r="N3" s="4">
        <f t="shared" si="0"/>
        <v>31.658767772511851</v>
      </c>
      <c r="O3" s="4">
        <f t="shared" si="0"/>
        <v>8.828767772511851</v>
      </c>
      <c r="P3" s="4">
        <f t="shared" si="0"/>
        <v>136.27276445497637</v>
      </c>
      <c r="Q3" s="4">
        <f t="shared" si="0"/>
        <v>13627.276445497637</v>
      </c>
      <c r="R3" s="4">
        <f t="shared" si="0"/>
        <v>538.49569999999994</v>
      </c>
    </row>
    <row r="4" spans="1:18" x14ac:dyDescent="0.25">
      <c r="A4" t="s">
        <v>26</v>
      </c>
      <c r="B4">
        <v>2.39</v>
      </c>
      <c r="C4">
        <v>1.39</v>
      </c>
      <c r="D4">
        <v>3.99</v>
      </c>
      <c r="E4">
        <v>4.99</v>
      </c>
      <c r="F4">
        <v>5</v>
      </c>
      <c r="G4" s="1">
        <f>Q4/R4</f>
        <v>34.886980484386335</v>
      </c>
      <c r="H4" s="1">
        <f>L4/M4</f>
        <v>66.93101843497422</v>
      </c>
      <c r="I4">
        <f t="shared" ref="I4:I51" si="1">E4/1.055</f>
        <v>4.7298578199052139</v>
      </c>
      <c r="J4">
        <f t="shared" ref="J4:J51" si="2">I4-C4</f>
        <v>3.3398578199052142</v>
      </c>
      <c r="K4">
        <f t="shared" ref="K4:K51" si="3">J4*F4</f>
        <v>16.699289099526069</v>
      </c>
      <c r="L4">
        <f>K4*100</f>
        <v>1669.928909952607</v>
      </c>
      <c r="M4">
        <f t="shared" ref="M4:M51" si="4">E4*F4</f>
        <v>24.950000000000003</v>
      </c>
      <c r="N4">
        <f>D4/1.055</f>
        <v>3.7819905213270149</v>
      </c>
      <c r="O4">
        <f>N4-B4</f>
        <v>1.3919905213270147</v>
      </c>
      <c r="P4">
        <f>O4*F4</f>
        <v>6.9599526066350741</v>
      </c>
      <c r="Q4">
        <f>P4*100</f>
        <v>695.99526066350745</v>
      </c>
      <c r="R4">
        <f>D4*F4</f>
        <v>19.950000000000003</v>
      </c>
    </row>
    <row r="5" spans="1:18" x14ac:dyDescent="0.25">
      <c r="A5" t="s">
        <v>10</v>
      </c>
      <c r="B5">
        <v>3.29</v>
      </c>
      <c r="C5">
        <v>2.7</v>
      </c>
      <c r="D5">
        <v>4.79</v>
      </c>
      <c r="E5">
        <v>4.99</v>
      </c>
      <c r="F5">
        <v>15</v>
      </c>
      <c r="G5" s="1">
        <f t="shared" ref="G5:G51" si="5">Q5/R5</f>
        <v>26.101969941327223</v>
      </c>
      <c r="H5" s="1">
        <f t="shared" ref="H5:H51" si="6">L5/M5</f>
        <v>40.678513424954183</v>
      </c>
      <c r="I5">
        <f t="shared" si="1"/>
        <v>4.7298578199052139</v>
      </c>
      <c r="J5">
        <f t="shared" si="2"/>
        <v>2.0298578199052137</v>
      </c>
      <c r="K5">
        <f t="shared" si="3"/>
        <v>30.447867298578206</v>
      </c>
      <c r="L5">
        <f t="shared" ref="L5:L51" si="7">K5*100</f>
        <v>3044.7867298578208</v>
      </c>
      <c r="M5">
        <f t="shared" si="4"/>
        <v>74.850000000000009</v>
      </c>
      <c r="N5">
        <f t="shared" ref="N5:N51" si="8">D5/1.055</f>
        <v>4.5402843601895739</v>
      </c>
      <c r="O5">
        <f t="shared" ref="O5:O51" si="9">N5-B5</f>
        <v>1.2502843601895739</v>
      </c>
      <c r="P5">
        <f t="shared" ref="P5:P51" si="10">O5*F5</f>
        <v>18.754265402843608</v>
      </c>
      <c r="Q5">
        <f t="shared" ref="Q5:Q51" si="11">P5*100</f>
        <v>1875.4265402843607</v>
      </c>
      <c r="R5">
        <f t="shared" ref="R5:R51" si="12">D5*F5</f>
        <v>71.849999999999994</v>
      </c>
    </row>
    <row r="6" spans="1:18" x14ac:dyDescent="0.25">
      <c r="A6" t="s">
        <v>11</v>
      </c>
      <c r="B6">
        <v>3.29</v>
      </c>
      <c r="C6">
        <v>2.8</v>
      </c>
      <c r="D6">
        <v>4.99</v>
      </c>
      <c r="E6">
        <v>4.99</v>
      </c>
      <c r="F6">
        <v>5</v>
      </c>
      <c r="G6" s="1">
        <f t="shared" si="5"/>
        <v>28.854866130365007</v>
      </c>
      <c r="H6" s="1">
        <f t="shared" si="6"/>
        <v>38.674505408922123</v>
      </c>
      <c r="I6">
        <f t="shared" si="1"/>
        <v>4.7298578199052139</v>
      </c>
      <c r="J6">
        <f t="shared" si="2"/>
        <v>1.9298578199052141</v>
      </c>
      <c r="K6">
        <f t="shared" si="3"/>
        <v>9.6492890995260705</v>
      </c>
      <c r="L6">
        <f t="shared" si="7"/>
        <v>964.928909952607</v>
      </c>
      <c r="M6">
        <f t="shared" si="4"/>
        <v>24.950000000000003</v>
      </c>
      <c r="N6">
        <f t="shared" si="8"/>
        <v>4.7298578199052139</v>
      </c>
      <c r="O6">
        <f t="shared" si="9"/>
        <v>1.4398578199052139</v>
      </c>
      <c r="P6">
        <f t="shared" si="10"/>
        <v>7.1992890995260694</v>
      </c>
      <c r="Q6">
        <f t="shared" si="11"/>
        <v>719.928909952607</v>
      </c>
      <c r="R6">
        <f t="shared" si="12"/>
        <v>24.950000000000003</v>
      </c>
    </row>
    <row r="7" spans="1:18" x14ac:dyDescent="0.25">
      <c r="A7" t="s">
        <v>20</v>
      </c>
      <c r="B7">
        <v>0.96</v>
      </c>
      <c r="C7">
        <v>0.65</v>
      </c>
      <c r="D7">
        <v>1.39</v>
      </c>
      <c r="E7">
        <v>1.29</v>
      </c>
      <c r="F7">
        <v>72</v>
      </c>
      <c r="G7" s="1">
        <f t="shared" si="5"/>
        <v>25.721981656381061</v>
      </c>
      <c r="H7" s="1">
        <f t="shared" si="6"/>
        <v>44.399132958595118</v>
      </c>
      <c r="I7">
        <f t="shared" si="1"/>
        <v>1.222748815165877</v>
      </c>
      <c r="J7">
        <f t="shared" si="2"/>
        <v>0.57274881516587695</v>
      </c>
      <c r="K7">
        <f t="shared" si="3"/>
        <v>41.237914691943139</v>
      </c>
      <c r="L7">
        <f t="shared" si="7"/>
        <v>4123.7914691943142</v>
      </c>
      <c r="M7">
        <f t="shared" si="4"/>
        <v>92.88</v>
      </c>
      <c r="N7">
        <f t="shared" si="8"/>
        <v>1.3175355450236967</v>
      </c>
      <c r="O7">
        <f t="shared" si="9"/>
        <v>0.35753554502369678</v>
      </c>
      <c r="P7">
        <f t="shared" si="10"/>
        <v>25.742559241706168</v>
      </c>
      <c r="Q7">
        <f t="shared" si="11"/>
        <v>2574.2559241706167</v>
      </c>
      <c r="R7">
        <f t="shared" si="12"/>
        <v>100.08</v>
      </c>
    </row>
    <row r="8" spans="1:18" x14ac:dyDescent="0.25">
      <c r="A8" t="s">
        <v>28</v>
      </c>
      <c r="B8">
        <v>1.45</v>
      </c>
      <c r="C8">
        <v>1.4</v>
      </c>
      <c r="D8">
        <v>1.89</v>
      </c>
      <c r="E8">
        <v>1.99</v>
      </c>
      <c r="F8">
        <v>18</v>
      </c>
      <c r="G8" s="1">
        <f t="shared" si="5"/>
        <v>18.067153138243192</v>
      </c>
      <c r="H8" s="1">
        <f t="shared" si="6"/>
        <v>24.434971063850067</v>
      </c>
      <c r="I8">
        <f t="shared" si="1"/>
        <v>1.8862559241706163</v>
      </c>
      <c r="J8">
        <f t="shared" si="2"/>
        <v>0.48625592417061636</v>
      </c>
      <c r="K8">
        <f t="shared" si="3"/>
        <v>8.7526066350710945</v>
      </c>
      <c r="L8">
        <f t="shared" si="7"/>
        <v>875.26066350710948</v>
      </c>
      <c r="M8">
        <f t="shared" si="4"/>
        <v>35.82</v>
      </c>
      <c r="N8">
        <f t="shared" si="8"/>
        <v>1.7914691943127963</v>
      </c>
      <c r="O8">
        <f t="shared" si="9"/>
        <v>0.34146919431279632</v>
      </c>
      <c r="P8">
        <f t="shared" si="10"/>
        <v>6.1464454976303333</v>
      </c>
      <c r="Q8">
        <f t="shared" si="11"/>
        <v>614.6445497630333</v>
      </c>
      <c r="R8">
        <f t="shared" si="12"/>
        <v>34.019999999999996</v>
      </c>
    </row>
    <row r="9" spans="1:18" x14ac:dyDescent="0.25">
      <c r="A9" t="s">
        <v>15</v>
      </c>
      <c r="B9">
        <v>1.42</v>
      </c>
      <c r="C9">
        <v>1.4</v>
      </c>
      <c r="D9">
        <v>1.99</v>
      </c>
      <c r="E9">
        <v>1.99</v>
      </c>
      <c r="F9">
        <v>48</v>
      </c>
      <c r="G9" s="1">
        <f t="shared" si="5"/>
        <v>23.429945938221927</v>
      </c>
      <c r="H9" s="1">
        <f t="shared" si="6"/>
        <v>24.434971063850067</v>
      </c>
      <c r="I9">
        <f t="shared" si="1"/>
        <v>1.8862559241706163</v>
      </c>
      <c r="J9">
        <f t="shared" si="2"/>
        <v>0.48625592417061636</v>
      </c>
      <c r="K9">
        <f t="shared" si="3"/>
        <v>23.340284360189585</v>
      </c>
      <c r="L9">
        <f t="shared" si="7"/>
        <v>2334.0284360189585</v>
      </c>
      <c r="M9">
        <f t="shared" si="4"/>
        <v>95.52</v>
      </c>
      <c r="N9">
        <f t="shared" si="8"/>
        <v>1.8862559241706163</v>
      </c>
      <c r="O9">
        <f t="shared" si="9"/>
        <v>0.46625592417061634</v>
      </c>
      <c r="P9">
        <f t="shared" si="10"/>
        <v>22.380284360189584</v>
      </c>
      <c r="Q9">
        <f t="shared" si="11"/>
        <v>2238.0284360189585</v>
      </c>
      <c r="R9">
        <f t="shared" si="12"/>
        <v>95.52</v>
      </c>
    </row>
    <row r="10" spans="1:18" x14ac:dyDescent="0.25">
      <c r="A10" t="s">
        <v>17</v>
      </c>
      <c r="B10">
        <v>2.99</v>
      </c>
      <c r="C10">
        <v>2.9</v>
      </c>
      <c r="D10">
        <v>4.49</v>
      </c>
      <c r="E10">
        <v>4.99</v>
      </c>
      <c r="F10">
        <v>15</v>
      </c>
      <c r="G10" s="1">
        <f t="shared" si="5"/>
        <v>28.194302240893411</v>
      </c>
      <c r="H10" s="1">
        <f t="shared" si="6"/>
        <v>36.670497392890056</v>
      </c>
      <c r="I10">
        <f t="shared" si="1"/>
        <v>4.7298578199052139</v>
      </c>
      <c r="J10">
        <f t="shared" si="2"/>
        <v>1.829857819905214</v>
      </c>
      <c r="K10">
        <f t="shared" si="3"/>
        <v>27.44786729857821</v>
      </c>
      <c r="L10">
        <f t="shared" si="7"/>
        <v>2744.7867298578208</v>
      </c>
      <c r="M10">
        <f t="shared" si="4"/>
        <v>74.850000000000009</v>
      </c>
      <c r="N10">
        <f t="shared" si="8"/>
        <v>4.2559241706161144</v>
      </c>
      <c r="O10">
        <f t="shared" si="9"/>
        <v>1.2659241706161142</v>
      </c>
      <c r="P10">
        <f t="shared" si="10"/>
        <v>18.988862559241714</v>
      </c>
      <c r="Q10">
        <f t="shared" si="11"/>
        <v>1898.8862559241713</v>
      </c>
      <c r="R10">
        <f t="shared" si="12"/>
        <v>67.350000000000009</v>
      </c>
    </row>
    <row r="11" spans="1:18" x14ac:dyDescent="0.25">
      <c r="A11" t="s">
        <v>16</v>
      </c>
      <c r="B11">
        <v>2.79</v>
      </c>
      <c r="C11">
        <v>2.79</v>
      </c>
      <c r="D11">
        <v>3.99</v>
      </c>
      <c r="E11">
        <v>3.99</v>
      </c>
      <c r="F11">
        <v>13.43</v>
      </c>
      <c r="G11" s="1">
        <f t="shared" si="5"/>
        <v>24.86191782774473</v>
      </c>
      <c r="H11" s="1">
        <f t="shared" si="6"/>
        <v>24.86191782774473</v>
      </c>
      <c r="I11">
        <f t="shared" si="1"/>
        <v>3.7819905213270149</v>
      </c>
      <c r="J11">
        <f t="shared" si="2"/>
        <v>0.99199052132701482</v>
      </c>
      <c r="K11">
        <f t="shared" si="3"/>
        <v>13.322432701421809</v>
      </c>
      <c r="L11">
        <f t="shared" si="7"/>
        <v>1332.2432701421808</v>
      </c>
      <c r="M11">
        <f t="shared" si="4"/>
        <v>53.585700000000003</v>
      </c>
      <c r="N11">
        <f t="shared" si="8"/>
        <v>3.7819905213270149</v>
      </c>
      <c r="O11">
        <f t="shared" si="9"/>
        <v>0.99199052132701482</v>
      </c>
      <c r="P11">
        <f t="shared" si="10"/>
        <v>13.322432701421809</v>
      </c>
      <c r="Q11">
        <f t="shared" si="11"/>
        <v>1332.2432701421808</v>
      </c>
      <c r="R11">
        <f t="shared" si="12"/>
        <v>53.585700000000003</v>
      </c>
    </row>
    <row r="12" spans="1:18" x14ac:dyDescent="0.25">
      <c r="A12" t="s">
        <v>21</v>
      </c>
      <c r="B12">
        <v>1.45</v>
      </c>
      <c r="C12">
        <v>1.4</v>
      </c>
      <c r="D12">
        <v>1.89</v>
      </c>
      <c r="E12">
        <v>1.99</v>
      </c>
      <c r="F12">
        <v>6</v>
      </c>
      <c r="G12" s="1">
        <f t="shared" si="5"/>
        <v>18.067153138243192</v>
      </c>
      <c r="H12" s="1">
        <f t="shared" si="6"/>
        <v>24.434971063850067</v>
      </c>
      <c r="I12">
        <f t="shared" si="1"/>
        <v>1.8862559241706163</v>
      </c>
      <c r="J12">
        <f t="shared" si="2"/>
        <v>0.48625592417061636</v>
      </c>
      <c r="K12">
        <f t="shared" si="3"/>
        <v>2.9175355450236982</v>
      </c>
      <c r="L12">
        <f t="shared" si="7"/>
        <v>291.75355450236981</v>
      </c>
      <c r="M12">
        <f t="shared" si="4"/>
        <v>11.94</v>
      </c>
      <c r="N12">
        <f t="shared" si="8"/>
        <v>1.7914691943127963</v>
      </c>
      <c r="O12">
        <f t="shared" si="9"/>
        <v>0.34146919431279632</v>
      </c>
      <c r="P12">
        <f t="shared" si="10"/>
        <v>2.0488151658767779</v>
      </c>
      <c r="Q12">
        <f t="shared" si="11"/>
        <v>204.88151658767779</v>
      </c>
      <c r="R12">
        <f t="shared" si="12"/>
        <v>11.34</v>
      </c>
    </row>
    <row r="13" spans="1:18" x14ac:dyDescent="0.25">
      <c r="A13" t="s">
        <v>102</v>
      </c>
      <c r="B13">
        <v>2.8</v>
      </c>
      <c r="C13">
        <v>2.65</v>
      </c>
      <c r="D13">
        <v>3.99</v>
      </c>
      <c r="E13">
        <v>3.99</v>
      </c>
      <c r="F13">
        <v>15</v>
      </c>
      <c r="G13" s="1">
        <f t="shared" si="5"/>
        <v>24.611291261328699</v>
      </c>
      <c r="H13" s="1">
        <f t="shared" si="6"/>
        <v>28.370689757569295</v>
      </c>
      <c r="I13">
        <f t="shared" si="1"/>
        <v>3.7819905213270149</v>
      </c>
      <c r="J13">
        <f t="shared" si="2"/>
        <v>1.1319905213270149</v>
      </c>
      <c r="K13">
        <f t="shared" si="3"/>
        <v>16.979857819905224</v>
      </c>
      <c r="L13">
        <f t="shared" si="7"/>
        <v>1697.9857819905224</v>
      </c>
      <c r="M13">
        <f t="shared" si="4"/>
        <v>59.85</v>
      </c>
      <c r="N13">
        <f t="shared" si="8"/>
        <v>3.7819905213270149</v>
      </c>
      <c r="O13">
        <f t="shared" si="9"/>
        <v>0.98199052132701503</v>
      </c>
      <c r="P13">
        <f t="shared" si="10"/>
        <v>14.729857819905225</v>
      </c>
      <c r="Q13">
        <f t="shared" si="11"/>
        <v>1472.9857819905226</v>
      </c>
      <c r="R13">
        <f t="shared" si="12"/>
        <v>59.85</v>
      </c>
    </row>
    <row r="14" spans="1:18" x14ac:dyDescent="0.25">
      <c r="G14" s="1" t="e">
        <f t="shared" si="5"/>
        <v>#DIV/0!</v>
      </c>
      <c r="H14" s="1" t="e">
        <f t="shared" si="6"/>
        <v>#DIV/0!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7"/>
        <v>0</v>
      </c>
      <c r="M14">
        <f t="shared" si="4"/>
        <v>0</v>
      </c>
      <c r="N14">
        <f t="shared" si="8"/>
        <v>0</v>
      </c>
      <c r="O14">
        <f t="shared" si="9"/>
        <v>0</v>
      </c>
      <c r="P14">
        <f t="shared" si="10"/>
        <v>0</v>
      </c>
      <c r="Q14">
        <f t="shared" si="11"/>
        <v>0</v>
      </c>
      <c r="R14">
        <f t="shared" si="12"/>
        <v>0</v>
      </c>
    </row>
    <row r="15" spans="1:18" x14ac:dyDescent="0.25">
      <c r="G15" s="1" t="e">
        <f t="shared" si="5"/>
        <v>#DIV/0!</v>
      </c>
      <c r="H15" s="1" t="e">
        <f t="shared" si="6"/>
        <v>#DIV/0!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7"/>
        <v>0</v>
      </c>
      <c r="M15">
        <f t="shared" si="4"/>
        <v>0</v>
      </c>
      <c r="N15">
        <f t="shared" si="8"/>
        <v>0</v>
      </c>
      <c r="O15">
        <f t="shared" si="9"/>
        <v>0</v>
      </c>
      <c r="P15">
        <f t="shared" si="10"/>
        <v>0</v>
      </c>
      <c r="Q15">
        <f t="shared" si="11"/>
        <v>0</v>
      </c>
      <c r="R15">
        <f t="shared" si="12"/>
        <v>0</v>
      </c>
    </row>
    <row r="16" spans="1:18" x14ac:dyDescent="0.25">
      <c r="G16" s="1" t="e">
        <f t="shared" si="5"/>
        <v>#DIV/0!</v>
      </c>
      <c r="H16" s="1" t="e">
        <f t="shared" si="6"/>
        <v>#DIV/0!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7"/>
        <v>0</v>
      </c>
      <c r="M16">
        <f t="shared" si="4"/>
        <v>0</v>
      </c>
      <c r="N16">
        <f t="shared" si="8"/>
        <v>0</v>
      </c>
      <c r="O16">
        <f t="shared" si="9"/>
        <v>0</v>
      </c>
      <c r="P16">
        <f t="shared" si="10"/>
        <v>0</v>
      </c>
      <c r="Q16">
        <f t="shared" si="11"/>
        <v>0</v>
      </c>
      <c r="R16">
        <f t="shared" si="12"/>
        <v>0</v>
      </c>
    </row>
    <row r="17" spans="7:18" x14ac:dyDescent="0.25">
      <c r="G17" s="1" t="e">
        <f t="shared" si="5"/>
        <v>#DIV/0!</v>
      </c>
      <c r="H17" s="1" t="e">
        <f t="shared" si="6"/>
        <v>#DIV/0!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7"/>
        <v>0</v>
      </c>
      <c r="M17">
        <f t="shared" si="4"/>
        <v>0</v>
      </c>
      <c r="N17">
        <f t="shared" si="8"/>
        <v>0</v>
      </c>
      <c r="O17">
        <f t="shared" si="9"/>
        <v>0</v>
      </c>
      <c r="P17">
        <f t="shared" si="10"/>
        <v>0</v>
      </c>
      <c r="Q17">
        <f t="shared" si="11"/>
        <v>0</v>
      </c>
      <c r="R17">
        <f t="shared" si="12"/>
        <v>0</v>
      </c>
    </row>
    <row r="18" spans="7:18" x14ac:dyDescent="0.25">
      <c r="G18" s="1" t="e">
        <f t="shared" si="5"/>
        <v>#DIV/0!</v>
      </c>
      <c r="H18" s="1" t="e">
        <f t="shared" si="6"/>
        <v>#DIV/0!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7"/>
        <v>0</v>
      </c>
      <c r="M18">
        <f t="shared" si="4"/>
        <v>0</v>
      </c>
      <c r="N18">
        <f t="shared" si="8"/>
        <v>0</v>
      </c>
      <c r="O18">
        <f t="shared" si="9"/>
        <v>0</v>
      </c>
      <c r="P18">
        <f t="shared" si="10"/>
        <v>0</v>
      </c>
      <c r="Q18">
        <f t="shared" si="11"/>
        <v>0</v>
      </c>
      <c r="R18">
        <f t="shared" si="12"/>
        <v>0</v>
      </c>
    </row>
    <row r="19" spans="7:18" x14ac:dyDescent="0.25">
      <c r="G19" s="1" t="e">
        <f t="shared" si="5"/>
        <v>#DIV/0!</v>
      </c>
      <c r="H19" s="1" t="e">
        <f t="shared" si="6"/>
        <v>#DIV/0!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7"/>
        <v>0</v>
      </c>
      <c r="M19">
        <f t="shared" si="4"/>
        <v>0</v>
      </c>
      <c r="N19">
        <f t="shared" si="8"/>
        <v>0</v>
      </c>
      <c r="O19">
        <f t="shared" si="9"/>
        <v>0</v>
      </c>
      <c r="P19">
        <f t="shared" si="10"/>
        <v>0</v>
      </c>
      <c r="Q19">
        <f t="shared" si="11"/>
        <v>0</v>
      </c>
      <c r="R19">
        <f t="shared" si="12"/>
        <v>0</v>
      </c>
    </row>
    <row r="20" spans="7:18" x14ac:dyDescent="0.25">
      <c r="G20" s="1" t="e">
        <f t="shared" si="5"/>
        <v>#DIV/0!</v>
      </c>
      <c r="H20" s="1" t="e">
        <f t="shared" si="6"/>
        <v>#DIV/0!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7"/>
        <v>0</v>
      </c>
      <c r="M20">
        <f t="shared" si="4"/>
        <v>0</v>
      </c>
      <c r="N20">
        <f t="shared" si="8"/>
        <v>0</v>
      </c>
      <c r="O20">
        <f t="shared" si="9"/>
        <v>0</v>
      </c>
      <c r="P20">
        <f t="shared" si="10"/>
        <v>0</v>
      </c>
      <c r="Q20">
        <f t="shared" si="11"/>
        <v>0</v>
      </c>
      <c r="R20">
        <f t="shared" si="12"/>
        <v>0</v>
      </c>
    </row>
    <row r="21" spans="7:18" x14ac:dyDescent="0.25">
      <c r="G21" s="1" t="e">
        <f t="shared" si="5"/>
        <v>#DIV/0!</v>
      </c>
      <c r="H21" s="1" t="e">
        <f t="shared" si="6"/>
        <v>#DIV/0!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7"/>
        <v>0</v>
      </c>
      <c r="M21">
        <f t="shared" si="4"/>
        <v>0</v>
      </c>
      <c r="N21">
        <f t="shared" si="8"/>
        <v>0</v>
      </c>
      <c r="O21">
        <f t="shared" si="9"/>
        <v>0</v>
      </c>
      <c r="P21">
        <f t="shared" si="10"/>
        <v>0</v>
      </c>
      <c r="Q21">
        <f t="shared" si="11"/>
        <v>0</v>
      </c>
      <c r="R21">
        <f t="shared" si="12"/>
        <v>0</v>
      </c>
    </row>
    <row r="22" spans="7:18" x14ac:dyDescent="0.25">
      <c r="G22" s="1" t="e">
        <f t="shared" si="5"/>
        <v>#DIV/0!</v>
      </c>
      <c r="H22" s="1" t="e">
        <f t="shared" si="6"/>
        <v>#DIV/0!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7"/>
        <v>0</v>
      </c>
      <c r="M22">
        <f t="shared" si="4"/>
        <v>0</v>
      </c>
      <c r="N22">
        <f t="shared" si="8"/>
        <v>0</v>
      </c>
      <c r="O22">
        <f t="shared" si="9"/>
        <v>0</v>
      </c>
      <c r="P22">
        <f t="shared" si="10"/>
        <v>0</v>
      </c>
      <c r="Q22">
        <f t="shared" si="11"/>
        <v>0</v>
      </c>
      <c r="R22">
        <f t="shared" si="12"/>
        <v>0</v>
      </c>
    </row>
    <row r="23" spans="7:18" x14ac:dyDescent="0.25">
      <c r="G23" s="1" t="e">
        <f t="shared" si="5"/>
        <v>#DIV/0!</v>
      </c>
      <c r="H23" s="1" t="e">
        <f t="shared" si="6"/>
        <v>#DIV/0!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7"/>
        <v>0</v>
      </c>
      <c r="M23">
        <f t="shared" si="4"/>
        <v>0</v>
      </c>
      <c r="N23">
        <f t="shared" si="8"/>
        <v>0</v>
      </c>
      <c r="O23">
        <f t="shared" si="9"/>
        <v>0</v>
      </c>
      <c r="P23">
        <f t="shared" si="10"/>
        <v>0</v>
      </c>
      <c r="Q23">
        <f t="shared" si="11"/>
        <v>0</v>
      </c>
      <c r="R23">
        <f t="shared" si="12"/>
        <v>0</v>
      </c>
    </row>
    <row r="24" spans="7:18" x14ac:dyDescent="0.25">
      <c r="G24" s="1" t="e">
        <f t="shared" si="5"/>
        <v>#DIV/0!</v>
      </c>
      <c r="H24" s="1" t="e">
        <f t="shared" si="6"/>
        <v>#DIV/0!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7"/>
        <v>0</v>
      </c>
      <c r="M24">
        <f t="shared" si="4"/>
        <v>0</v>
      </c>
      <c r="N24">
        <f t="shared" si="8"/>
        <v>0</v>
      </c>
      <c r="O24">
        <f t="shared" si="9"/>
        <v>0</v>
      </c>
      <c r="P24">
        <f t="shared" si="10"/>
        <v>0</v>
      </c>
      <c r="Q24">
        <f t="shared" si="11"/>
        <v>0</v>
      </c>
      <c r="R24">
        <f t="shared" si="12"/>
        <v>0</v>
      </c>
    </row>
    <row r="25" spans="7:18" x14ac:dyDescent="0.25">
      <c r="G25" s="1" t="e">
        <f t="shared" si="5"/>
        <v>#DIV/0!</v>
      </c>
      <c r="H25" s="1" t="e">
        <f t="shared" si="6"/>
        <v>#DIV/0!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7"/>
        <v>0</v>
      </c>
      <c r="M25">
        <f t="shared" si="4"/>
        <v>0</v>
      </c>
      <c r="N25">
        <f t="shared" si="8"/>
        <v>0</v>
      </c>
      <c r="O25">
        <f t="shared" si="9"/>
        <v>0</v>
      </c>
      <c r="P25">
        <f t="shared" si="10"/>
        <v>0</v>
      </c>
      <c r="Q25">
        <f t="shared" si="11"/>
        <v>0</v>
      </c>
      <c r="R25">
        <f t="shared" si="12"/>
        <v>0</v>
      </c>
    </row>
    <row r="26" spans="7:18" x14ac:dyDescent="0.25">
      <c r="G26" s="1" t="e">
        <f t="shared" si="5"/>
        <v>#DIV/0!</v>
      </c>
      <c r="H26" s="1" t="e">
        <f t="shared" si="6"/>
        <v>#DIV/0!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7"/>
        <v>0</v>
      </c>
      <c r="M26">
        <f t="shared" si="4"/>
        <v>0</v>
      </c>
      <c r="N26">
        <f t="shared" si="8"/>
        <v>0</v>
      </c>
      <c r="O26">
        <f t="shared" si="9"/>
        <v>0</v>
      </c>
      <c r="P26">
        <f t="shared" si="10"/>
        <v>0</v>
      </c>
      <c r="Q26">
        <f t="shared" si="11"/>
        <v>0</v>
      </c>
      <c r="R26">
        <f t="shared" si="12"/>
        <v>0</v>
      </c>
    </row>
    <row r="27" spans="7:18" x14ac:dyDescent="0.25">
      <c r="G27" s="1" t="e">
        <f t="shared" si="5"/>
        <v>#DIV/0!</v>
      </c>
      <c r="H27" s="1" t="e">
        <f t="shared" si="6"/>
        <v>#DIV/0!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7"/>
        <v>0</v>
      </c>
      <c r="M27">
        <f t="shared" si="4"/>
        <v>0</v>
      </c>
      <c r="N27">
        <f t="shared" si="8"/>
        <v>0</v>
      </c>
      <c r="O27">
        <f t="shared" si="9"/>
        <v>0</v>
      </c>
      <c r="P27">
        <f t="shared" si="10"/>
        <v>0</v>
      </c>
      <c r="Q27">
        <f t="shared" si="11"/>
        <v>0</v>
      </c>
      <c r="R27">
        <f t="shared" si="12"/>
        <v>0</v>
      </c>
    </row>
    <row r="28" spans="7:18" x14ac:dyDescent="0.25">
      <c r="G28" s="1" t="e">
        <f t="shared" si="5"/>
        <v>#DIV/0!</v>
      </c>
      <c r="H28" s="1" t="e">
        <f t="shared" si="6"/>
        <v>#DIV/0!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7"/>
        <v>0</v>
      </c>
      <c r="M28">
        <f t="shared" si="4"/>
        <v>0</v>
      </c>
      <c r="N28">
        <f t="shared" si="8"/>
        <v>0</v>
      </c>
      <c r="O28">
        <f t="shared" si="9"/>
        <v>0</v>
      </c>
      <c r="P28">
        <f t="shared" si="10"/>
        <v>0</v>
      </c>
      <c r="Q28">
        <f t="shared" si="11"/>
        <v>0</v>
      </c>
      <c r="R28">
        <f t="shared" si="12"/>
        <v>0</v>
      </c>
    </row>
    <row r="29" spans="7:18" x14ac:dyDescent="0.25">
      <c r="G29" s="1" t="e">
        <f t="shared" si="5"/>
        <v>#DIV/0!</v>
      </c>
      <c r="H29" s="1" t="e">
        <f t="shared" si="6"/>
        <v>#DIV/0!</v>
      </c>
      <c r="I29">
        <f t="shared" si="1"/>
        <v>0</v>
      </c>
      <c r="J29">
        <f t="shared" si="2"/>
        <v>0</v>
      </c>
      <c r="K29">
        <f t="shared" si="3"/>
        <v>0</v>
      </c>
      <c r="L29">
        <f t="shared" si="7"/>
        <v>0</v>
      </c>
      <c r="M29">
        <f t="shared" si="4"/>
        <v>0</v>
      </c>
      <c r="N29">
        <f t="shared" si="8"/>
        <v>0</v>
      </c>
      <c r="O29">
        <f t="shared" si="9"/>
        <v>0</v>
      </c>
      <c r="P29">
        <f t="shared" si="10"/>
        <v>0</v>
      </c>
      <c r="Q29">
        <f t="shared" si="11"/>
        <v>0</v>
      </c>
      <c r="R29">
        <f t="shared" si="12"/>
        <v>0</v>
      </c>
    </row>
    <row r="30" spans="7:18" x14ac:dyDescent="0.25">
      <c r="G30" s="1" t="e">
        <f t="shared" si="5"/>
        <v>#DIV/0!</v>
      </c>
      <c r="H30" s="1" t="e">
        <f t="shared" si="6"/>
        <v>#DIV/0!</v>
      </c>
      <c r="I30">
        <f t="shared" si="1"/>
        <v>0</v>
      </c>
      <c r="J30">
        <f t="shared" si="2"/>
        <v>0</v>
      </c>
      <c r="K30">
        <f t="shared" si="3"/>
        <v>0</v>
      </c>
      <c r="L30">
        <f t="shared" si="7"/>
        <v>0</v>
      </c>
      <c r="M30">
        <f t="shared" si="4"/>
        <v>0</v>
      </c>
      <c r="N30">
        <f t="shared" si="8"/>
        <v>0</v>
      </c>
      <c r="O30">
        <f t="shared" si="9"/>
        <v>0</v>
      </c>
      <c r="P30">
        <f t="shared" si="10"/>
        <v>0</v>
      </c>
      <c r="Q30">
        <f t="shared" si="11"/>
        <v>0</v>
      </c>
      <c r="R30">
        <f t="shared" si="12"/>
        <v>0</v>
      </c>
    </row>
    <row r="31" spans="7:18" x14ac:dyDescent="0.25">
      <c r="G31" s="1" t="e">
        <f t="shared" si="5"/>
        <v>#DIV/0!</v>
      </c>
      <c r="H31" s="1" t="e">
        <f t="shared" si="6"/>
        <v>#DIV/0!</v>
      </c>
      <c r="I31">
        <f t="shared" si="1"/>
        <v>0</v>
      </c>
      <c r="J31">
        <f t="shared" si="2"/>
        <v>0</v>
      </c>
      <c r="K31">
        <f t="shared" si="3"/>
        <v>0</v>
      </c>
      <c r="L31">
        <f t="shared" si="7"/>
        <v>0</v>
      </c>
      <c r="M31">
        <f t="shared" si="4"/>
        <v>0</v>
      </c>
      <c r="N31">
        <f t="shared" si="8"/>
        <v>0</v>
      </c>
      <c r="O31">
        <f t="shared" si="9"/>
        <v>0</v>
      </c>
      <c r="P31">
        <f t="shared" si="10"/>
        <v>0</v>
      </c>
      <c r="Q31">
        <f t="shared" si="11"/>
        <v>0</v>
      </c>
      <c r="R31">
        <f t="shared" si="12"/>
        <v>0</v>
      </c>
    </row>
    <row r="32" spans="7:18" x14ac:dyDescent="0.25">
      <c r="G32" s="1" t="e">
        <f t="shared" si="5"/>
        <v>#DIV/0!</v>
      </c>
      <c r="H32" s="1" t="e">
        <f t="shared" si="6"/>
        <v>#DIV/0!</v>
      </c>
      <c r="I32">
        <f>E32/1.055</f>
        <v>0</v>
      </c>
      <c r="J32">
        <f>I32-C32</f>
        <v>0</v>
      </c>
      <c r="K32">
        <f>J32*F32</f>
        <v>0</v>
      </c>
      <c r="L32">
        <f t="shared" si="7"/>
        <v>0</v>
      </c>
      <c r="M32">
        <f>E32*F32</f>
        <v>0</v>
      </c>
      <c r="N32">
        <f>D32/1.055</f>
        <v>0</v>
      </c>
      <c r="O32">
        <f>N32-B32</f>
        <v>0</v>
      </c>
      <c r="P32">
        <f>O32*F32</f>
        <v>0</v>
      </c>
      <c r="Q32">
        <f t="shared" si="11"/>
        <v>0</v>
      </c>
      <c r="R32">
        <f>D32*F32</f>
        <v>0</v>
      </c>
    </row>
    <row r="33" spans="7:18" x14ac:dyDescent="0.25">
      <c r="G33" s="1" t="e">
        <f t="shared" si="5"/>
        <v>#DIV/0!</v>
      </c>
      <c r="H33" s="1" t="e">
        <f t="shared" si="6"/>
        <v>#DIV/0!</v>
      </c>
      <c r="I33">
        <f>E33/1.055</f>
        <v>0</v>
      </c>
      <c r="J33">
        <f>I33-C33</f>
        <v>0</v>
      </c>
      <c r="K33">
        <f>J33*F33</f>
        <v>0</v>
      </c>
      <c r="L33">
        <f t="shared" si="7"/>
        <v>0</v>
      </c>
      <c r="M33">
        <f>E33*F33</f>
        <v>0</v>
      </c>
      <c r="N33">
        <f>D33/1.055</f>
        <v>0</v>
      </c>
      <c r="O33">
        <f>N33-B33</f>
        <v>0</v>
      </c>
      <c r="P33">
        <f>O33*F33</f>
        <v>0</v>
      </c>
      <c r="Q33">
        <f t="shared" si="11"/>
        <v>0</v>
      </c>
      <c r="R33">
        <f>D33*F33</f>
        <v>0</v>
      </c>
    </row>
    <row r="34" spans="7:18" x14ac:dyDescent="0.25">
      <c r="G34" s="1" t="e">
        <f t="shared" si="5"/>
        <v>#DIV/0!</v>
      </c>
      <c r="H34" s="1" t="e">
        <f t="shared" si="6"/>
        <v>#DIV/0!</v>
      </c>
      <c r="I34">
        <f>E34/1.055</f>
        <v>0</v>
      </c>
      <c r="J34">
        <f>I34-C34</f>
        <v>0</v>
      </c>
      <c r="K34">
        <f>J34*F34</f>
        <v>0</v>
      </c>
      <c r="L34">
        <f t="shared" si="7"/>
        <v>0</v>
      </c>
      <c r="M34">
        <f>E34*F34</f>
        <v>0</v>
      </c>
      <c r="N34">
        <f>D34/1.055</f>
        <v>0</v>
      </c>
      <c r="O34">
        <f>N34-B34</f>
        <v>0</v>
      </c>
      <c r="P34">
        <f>O34*F34</f>
        <v>0</v>
      </c>
      <c r="Q34">
        <f t="shared" si="11"/>
        <v>0</v>
      </c>
      <c r="R34">
        <f>D34*F34</f>
        <v>0</v>
      </c>
    </row>
    <row r="35" spans="7:18" x14ac:dyDescent="0.25">
      <c r="G35" s="1" t="e">
        <f t="shared" si="5"/>
        <v>#DIV/0!</v>
      </c>
      <c r="H35" s="1" t="e">
        <f t="shared" si="6"/>
        <v>#DIV/0!</v>
      </c>
      <c r="I35">
        <f t="shared" si="1"/>
        <v>0</v>
      </c>
      <c r="J35">
        <f t="shared" si="2"/>
        <v>0</v>
      </c>
      <c r="K35">
        <f t="shared" si="3"/>
        <v>0</v>
      </c>
      <c r="L35">
        <f t="shared" si="7"/>
        <v>0</v>
      </c>
      <c r="M35">
        <f t="shared" si="4"/>
        <v>0</v>
      </c>
      <c r="N35">
        <f t="shared" si="8"/>
        <v>0</v>
      </c>
      <c r="O35">
        <f t="shared" si="9"/>
        <v>0</v>
      </c>
      <c r="P35">
        <f t="shared" si="10"/>
        <v>0</v>
      </c>
      <c r="Q35">
        <f t="shared" si="11"/>
        <v>0</v>
      </c>
      <c r="R35">
        <f t="shared" si="12"/>
        <v>0</v>
      </c>
    </row>
    <row r="36" spans="7:18" x14ac:dyDescent="0.25">
      <c r="G36" s="1" t="e">
        <f t="shared" si="5"/>
        <v>#DIV/0!</v>
      </c>
      <c r="H36" s="1" t="e">
        <f t="shared" si="6"/>
        <v>#DIV/0!</v>
      </c>
      <c r="I36">
        <f t="shared" si="1"/>
        <v>0</v>
      </c>
      <c r="J36">
        <f t="shared" si="2"/>
        <v>0</v>
      </c>
      <c r="K36">
        <f t="shared" si="3"/>
        <v>0</v>
      </c>
      <c r="L36">
        <f t="shared" si="7"/>
        <v>0</v>
      </c>
      <c r="M36">
        <f t="shared" si="4"/>
        <v>0</v>
      </c>
      <c r="N36">
        <f t="shared" si="8"/>
        <v>0</v>
      </c>
      <c r="O36">
        <f t="shared" si="9"/>
        <v>0</v>
      </c>
      <c r="P36">
        <f t="shared" si="10"/>
        <v>0</v>
      </c>
      <c r="Q36">
        <f t="shared" si="11"/>
        <v>0</v>
      </c>
      <c r="R36">
        <f t="shared" si="12"/>
        <v>0</v>
      </c>
    </row>
    <row r="37" spans="7:18" x14ac:dyDescent="0.25">
      <c r="G37" s="1" t="e">
        <f t="shared" si="5"/>
        <v>#DIV/0!</v>
      </c>
      <c r="H37" s="1" t="e">
        <f t="shared" si="6"/>
        <v>#DIV/0!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7"/>
        <v>0</v>
      </c>
      <c r="M37">
        <f t="shared" si="4"/>
        <v>0</v>
      </c>
      <c r="N37">
        <f t="shared" si="8"/>
        <v>0</v>
      </c>
      <c r="O37">
        <f t="shared" si="9"/>
        <v>0</v>
      </c>
      <c r="P37">
        <f t="shared" si="10"/>
        <v>0</v>
      </c>
      <c r="Q37">
        <f t="shared" si="11"/>
        <v>0</v>
      </c>
      <c r="R37">
        <f t="shared" si="12"/>
        <v>0</v>
      </c>
    </row>
    <row r="38" spans="7:18" x14ac:dyDescent="0.25">
      <c r="G38" s="1" t="e">
        <f t="shared" si="5"/>
        <v>#DIV/0!</v>
      </c>
      <c r="H38" s="1" t="e">
        <f t="shared" si="6"/>
        <v>#DIV/0!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7"/>
        <v>0</v>
      </c>
      <c r="M38">
        <f t="shared" si="4"/>
        <v>0</v>
      </c>
      <c r="N38">
        <f t="shared" si="8"/>
        <v>0</v>
      </c>
      <c r="O38">
        <f t="shared" si="9"/>
        <v>0</v>
      </c>
      <c r="P38">
        <f t="shared" si="10"/>
        <v>0</v>
      </c>
      <c r="Q38">
        <f t="shared" si="11"/>
        <v>0</v>
      </c>
      <c r="R38">
        <f t="shared" si="12"/>
        <v>0</v>
      </c>
    </row>
    <row r="39" spans="7:18" x14ac:dyDescent="0.25">
      <c r="G39" s="1" t="e">
        <f t="shared" si="5"/>
        <v>#DIV/0!</v>
      </c>
      <c r="H39" s="1" t="e">
        <f t="shared" si="6"/>
        <v>#DIV/0!</v>
      </c>
      <c r="I39">
        <f t="shared" si="1"/>
        <v>0</v>
      </c>
      <c r="J39">
        <f t="shared" si="2"/>
        <v>0</v>
      </c>
      <c r="K39">
        <f t="shared" si="3"/>
        <v>0</v>
      </c>
      <c r="L39">
        <f t="shared" si="7"/>
        <v>0</v>
      </c>
      <c r="M39">
        <f t="shared" si="4"/>
        <v>0</v>
      </c>
      <c r="N39">
        <f t="shared" si="8"/>
        <v>0</v>
      </c>
      <c r="O39">
        <f t="shared" si="9"/>
        <v>0</v>
      </c>
      <c r="P39">
        <f t="shared" si="10"/>
        <v>0</v>
      </c>
      <c r="Q39">
        <f t="shared" si="11"/>
        <v>0</v>
      </c>
      <c r="R39">
        <f t="shared" si="12"/>
        <v>0</v>
      </c>
    </row>
    <row r="40" spans="7:18" x14ac:dyDescent="0.25">
      <c r="G40" s="1" t="e">
        <f t="shared" si="5"/>
        <v>#DIV/0!</v>
      </c>
      <c r="H40" s="1" t="e">
        <f t="shared" si="6"/>
        <v>#DIV/0!</v>
      </c>
      <c r="I40">
        <f t="shared" si="1"/>
        <v>0</v>
      </c>
      <c r="J40">
        <f t="shared" si="2"/>
        <v>0</v>
      </c>
      <c r="K40">
        <f t="shared" si="3"/>
        <v>0</v>
      </c>
      <c r="L40">
        <f t="shared" si="7"/>
        <v>0</v>
      </c>
      <c r="M40">
        <f t="shared" si="4"/>
        <v>0</v>
      </c>
      <c r="N40">
        <f t="shared" si="8"/>
        <v>0</v>
      </c>
      <c r="O40">
        <f t="shared" si="9"/>
        <v>0</v>
      </c>
      <c r="P40">
        <f t="shared" si="10"/>
        <v>0</v>
      </c>
      <c r="Q40">
        <f t="shared" si="11"/>
        <v>0</v>
      </c>
      <c r="R40">
        <f t="shared" si="12"/>
        <v>0</v>
      </c>
    </row>
    <row r="41" spans="7:18" x14ac:dyDescent="0.25">
      <c r="G41" s="1" t="e">
        <f t="shared" si="5"/>
        <v>#DIV/0!</v>
      </c>
      <c r="H41" s="1" t="e">
        <f t="shared" si="6"/>
        <v>#DIV/0!</v>
      </c>
      <c r="I41">
        <f t="shared" si="1"/>
        <v>0</v>
      </c>
      <c r="J41">
        <f t="shared" si="2"/>
        <v>0</v>
      </c>
      <c r="K41">
        <f t="shared" si="3"/>
        <v>0</v>
      </c>
      <c r="L41">
        <f t="shared" si="7"/>
        <v>0</v>
      </c>
      <c r="M41">
        <f t="shared" si="4"/>
        <v>0</v>
      </c>
      <c r="N41">
        <f t="shared" si="8"/>
        <v>0</v>
      </c>
      <c r="O41">
        <f t="shared" si="9"/>
        <v>0</v>
      </c>
      <c r="P41">
        <f t="shared" si="10"/>
        <v>0</v>
      </c>
      <c r="Q41">
        <f t="shared" si="11"/>
        <v>0</v>
      </c>
      <c r="R41">
        <f t="shared" si="12"/>
        <v>0</v>
      </c>
    </row>
    <row r="42" spans="7:18" x14ac:dyDescent="0.25">
      <c r="G42" s="1" t="e">
        <f t="shared" si="5"/>
        <v>#DIV/0!</v>
      </c>
      <c r="H42" s="1" t="e">
        <f t="shared" si="6"/>
        <v>#DIV/0!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7"/>
        <v>0</v>
      </c>
      <c r="M42">
        <f t="shared" si="4"/>
        <v>0</v>
      </c>
      <c r="N42">
        <f t="shared" si="8"/>
        <v>0</v>
      </c>
      <c r="O42">
        <f t="shared" si="9"/>
        <v>0</v>
      </c>
      <c r="P42">
        <f t="shared" si="10"/>
        <v>0</v>
      </c>
      <c r="Q42">
        <f t="shared" si="11"/>
        <v>0</v>
      </c>
      <c r="R42">
        <f t="shared" si="12"/>
        <v>0</v>
      </c>
    </row>
    <row r="43" spans="7:18" x14ac:dyDescent="0.25">
      <c r="G43" s="1" t="e">
        <f t="shared" si="5"/>
        <v>#DIV/0!</v>
      </c>
      <c r="H43" s="1" t="e">
        <f t="shared" si="6"/>
        <v>#DIV/0!</v>
      </c>
      <c r="I43">
        <f t="shared" si="1"/>
        <v>0</v>
      </c>
      <c r="J43">
        <f t="shared" si="2"/>
        <v>0</v>
      </c>
      <c r="K43">
        <f t="shared" si="3"/>
        <v>0</v>
      </c>
      <c r="L43">
        <f t="shared" si="7"/>
        <v>0</v>
      </c>
      <c r="M43">
        <f t="shared" si="4"/>
        <v>0</v>
      </c>
      <c r="N43">
        <f t="shared" si="8"/>
        <v>0</v>
      </c>
      <c r="O43">
        <f t="shared" si="9"/>
        <v>0</v>
      </c>
      <c r="P43">
        <f t="shared" si="10"/>
        <v>0</v>
      </c>
      <c r="Q43">
        <f t="shared" si="11"/>
        <v>0</v>
      </c>
      <c r="R43">
        <f t="shared" si="12"/>
        <v>0</v>
      </c>
    </row>
    <row r="44" spans="7:18" x14ac:dyDescent="0.25">
      <c r="G44" s="1" t="e">
        <f t="shared" si="5"/>
        <v>#DIV/0!</v>
      </c>
      <c r="H44" s="1" t="e">
        <f t="shared" si="6"/>
        <v>#DIV/0!</v>
      </c>
      <c r="I44">
        <f t="shared" si="1"/>
        <v>0</v>
      </c>
      <c r="J44">
        <f t="shared" si="2"/>
        <v>0</v>
      </c>
      <c r="K44">
        <f t="shared" si="3"/>
        <v>0</v>
      </c>
      <c r="L44">
        <f t="shared" si="7"/>
        <v>0</v>
      </c>
      <c r="M44">
        <f t="shared" si="4"/>
        <v>0</v>
      </c>
      <c r="N44">
        <f t="shared" si="8"/>
        <v>0</v>
      </c>
      <c r="O44">
        <f t="shared" si="9"/>
        <v>0</v>
      </c>
      <c r="P44">
        <f t="shared" si="10"/>
        <v>0</v>
      </c>
      <c r="Q44">
        <f t="shared" si="11"/>
        <v>0</v>
      </c>
      <c r="R44">
        <f t="shared" si="12"/>
        <v>0</v>
      </c>
    </row>
    <row r="45" spans="7:18" x14ac:dyDescent="0.25">
      <c r="G45" s="1" t="e">
        <f t="shared" si="5"/>
        <v>#DIV/0!</v>
      </c>
      <c r="H45" s="1" t="e">
        <f t="shared" si="6"/>
        <v>#DIV/0!</v>
      </c>
      <c r="I45">
        <f t="shared" si="1"/>
        <v>0</v>
      </c>
      <c r="J45">
        <f t="shared" si="2"/>
        <v>0</v>
      </c>
      <c r="K45">
        <f t="shared" si="3"/>
        <v>0</v>
      </c>
      <c r="L45">
        <f t="shared" si="7"/>
        <v>0</v>
      </c>
      <c r="M45">
        <f t="shared" si="4"/>
        <v>0</v>
      </c>
      <c r="N45">
        <f t="shared" si="8"/>
        <v>0</v>
      </c>
      <c r="O45">
        <f t="shared" si="9"/>
        <v>0</v>
      </c>
      <c r="P45">
        <f t="shared" si="10"/>
        <v>0</v>
      </c>
      <c r="Q45">
        <f t="shared" si="11"/>
        <v>0</v>
      </c>
      <c r="R45">
        <f t="shared" si="12"/>
        <v>0</v>
      </c>
    </row>
    <row r="46" spans="7:18" x14ac:dyDescent="0.25">
      <c r="G46" s="1" t="e">
        <f t="shared" si="5"/>
        <v>#DIV/0!</v>
      </c>
      <c r="H46" s="1" t="e">
        <f t="shared" si="6"/>
        <v>#DIV/0!</v>
      </c>
      <c r="I46">
        <f t="shared" si="1"/>
        <v>0</v>
      </c>
      <c r="J46">
        <f t="shared" si="2"/>
        <v>0</v>
      </c>
      <c r="K46">
        <f t="shared" si="3"/>
        <v>0</v>
      </c>
      <c r="L46">
        <f t="shared" si="7"/>
        <v>0</v>
      </c>
      <c r="M46">
        <f t="shared" si="4"/>
        <v>0</v>
      </c>
      <c r="N46">
        <f t="shared" si="8"/>
        <v>0</v>
      </c>
      <c r="O46">
        <f t="shared" si="9"/>
        <v>0</v>
      </c>
      <c r="P46">
        <f t="shared" si="10"/>
        <v>0</v>
      </c>
      <c r="Q46">
        <f t="shared" si="11"/>
        <v>0</v>
      </c>
      <c r="R46">
        <f t="shared" si="12"/>
        <v>0</v>
      </c>
    </row>
    <row r="47" spans="7:18" x14ac:dyDescent="0.25">
      <c r="G47" s="1" t="e">
        <f t="shared" si="5"/>
        <v>#DIV/0!</v>
      </c>
      <c r="H47" s="1" t="e">
        <f t="shared" si="6"/>
        <v>#DIV/0!</v>
      </c>
      <c r="I47">
        <f t="shared" si="1"/>
        <v>0</v>
      </c>
      <c r="J47">
        <f t="shared" si="2"/>
        <v>0</v>
      </c>
      <c r="K47">
        <f t="shared" si="3"/>
        <v>0</v>
      </c>
      <c r="L47">
        <f t="shared" si="7"/>
        <v>0</v>
      </c>
      <c r="M47">
        <f t="shared" si="4"/>
        <v>0</v>
      </c>
      <c r="N47">
        <f t="shared" si="8"/>
        <v>0</v>
      </c>
      <c r="O47">
        <f t="shared" si="9"/>
        <v>0</v>
      </c>
      <c r="P47">
        <f t="shared" si="10"/>
        <v>0</v>
      </c>
      <c r="Q47">
        <f t="shared" si="11"/>
        <v>0</v>
      </c>
      <c r="R47">
        <f t="shared" si="12"/>
        <v>0</v>
      </c>
    </row>
    <row r="48" spans="7:18" x14ac:dyDescent="0.25">
      <c r="G48" s="1" t="e">
        <f t="shared" si="5"/>
        <v>#DIV/0!</v>
      </c>
      <c r="H48" s="1" t="e">
        <f t="shared" si="6"/>
        <v>#DIV/0!</v>
      </c>
      <c r="I48">
        <f t="shared" si="1"/>
        <v>0</v>
      </c>
      <c r="J48">
        <f t="shared" si="2"/>
        <v>0</v>
      </c>
      <c r="K48">
        <f t="shared" si="3"/>
        <v>0</v>
      </c>
      <c r="L48">
        <f t="shared" si="7"/>
        <v>0</v>
      </c>
      <c r="M48">
        <f t="shared" si="4"/>
        <v>0</v>
      </c>
      <c r="N48">
        <f t="shared" si="8"/>
        <v>0</v>
      </c>
      <c r="O48">
        <f t="shared" si="9"/>
        <v>0</v>
      </c>
      <c r="P48">
        <f t="shared" si="10"/>
        <v>0</v>
      </c>
      <c r="Q48">
        <f t="shared" si="11"/>
        <v>0</v>
      </c>
      <c r="R48">
        <f t="sh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#DIV/0!</v>
      </c>
      <c r="I49">
        <f t="shared" si="1"/>
        <v>0</v>
      </c>
      <c r="J49">
        <f t="shared" si="2"/>
        <v>0</v>
      </c>
      <c r="K49">
        <f t="shared" si="3"/>
        <v>0</v>
      </c>
      <c r="L49">
        <f t="shared" si="7"/>
        <v>0</v>
      </c>
      <c r="M49">
        <f t="shared" si="4"/>
        <v>0</v>
      </c>
      <c r="N49">
        <f t="shared" si="8"/>
        <v>0</v>
      </c>
      <c r="O49">
        <f t="shared" si="9"/>
        <v>0</v>
      </c>
      <c r="P49">
        <f t="shared" si="10"/>
        <v>0</v>
      </c>
      <c r="Q49">
        <f t="shared" si="11"/>
        <v>0</v>
      </c>
      <c r="R49">
        <f t="shared" si="12"/>
        <v>0</v>
      </c>
    </row>
    <row r="50" spans="7:18" x14ac:dyDescent="0.25">
      <c r="G50" s="1" t="e">
        <f t="shared" si="5"/>
        <v>#DIV/0!</v>
      </c>
      <c r="H50" s="1" t="e">
        <f t="shared" si="6"/>
        <v>#DIV/0!</v>
      </c>
      <c r="I50">
        <f t="shared" si="1"/>
        <v>0</v>
      </c>
      <c r="J50">
        <f t="shared" si="2"/>
        <v>0</v>
      </c>
      <c r="K50">
        <f t="shared" si="3"/>
        <v>0</v>
      </c>
      <c r="L50">
        <f t="shared" si="7"/>
        <v>0</v>
      </c>
      <c r="M50">
        <f t="shared" si="4"/>
        <v>0</v>
      </c>
      <c r="N50">
        <f t="shared" si="8"/>
        <v>0</v>
      </c>
      <c r="O50">
        <f t="shared" si="9"/>
        <v>0</v>
      </c>
      <c r="P50">
        <f t="shared" si="10"/>
        <v>0</v>
      </c>
      <c r="Q50">
        <f t="shared" si="11"/>
        <v>0</v>
      </c>
      <c r="R50">
        <f t="shared" si="12"/>
        <v>0</v>
      </c>
    </row>
    <row r="51" spans="7:18" x14ac:dyDescent="0.25">
      <c r="G51" s="1" t="e">
        <f t="shared" si="5"/>
        <v>#DIV/0!</v>
      </c>
      <c r="H51" s="1" t="e">
        <f t="shared" si="6"/>
        <v>#DIV/0!</v>
      </c>
      <c r="I51">
        <f t="shared" si="1"/>
        <v>0</v>
      </c>
      <c r="J51">
        <f t="shared" si="2"/>
        <v>0</v>
      </c>
      <c r="K51">
        <f t="shared" si="3"/>
        <v>0</v>
      </c>
      <c r="L51">
        <f t="shared" si="7"/>
        <v>0</v>
      </c>
      <c r="M51">
        <f t="shared" si="4"/>
        <v>0</v>
      </c>
      <c r="N51">
        <f t="shared" si="8"/>
        <v>0</v>
      </c>
      <c r="O51">
        <f t="shared" si="9"/>
        <v>0</v>
      </c>
      <c r="P51">
        <f t="shared" si="10"/>
        <v>0</v>
      </c>
      <c r="Q51">
        <f t="shared" si="11"/>
        <v>0</v>
      </c>
      <c r="R51">
        <f t="shared" si="12"/>
        <v>0</v>
      </c>
    </row>
  </sheetData>
  <conditionalFormatting sqref="B4">
    <cfRule type="cellIs" dxfId="375" priority="188" operator="lessThan">
      <formula>$C$4</formula>
    </cfRule>
  </conditionalFormatting>
  <conditionalFormatting sqref="C4">
    <cfRule type="cellIs" dxfId="373" priority="187" operator="lessThan">
      <formula>$B$4</formula>
    </cfRule>
  </conditionalFormatting>
  <conditionalFormatting sqref="B5">
    <cfRule type="cellIs" dxfId="371" priority="186" operator="lessThan">
      <formula>$C$5</formula>
    </cfRule>
  </conditionalFormatting>
  <conditionalFormatting sqref="C5">
    <cfRule type="cellIs" dxfId="369" priority="185" operator="lessThan">
      <formula>$B$5</formula>
    </cfRule>
  </conditionalFormatting>
  <conditionalFormatting sqref="B6">
    <cfRule type="cellIs" dxfId="367" priority="184" operator="lessThan">
      <formula>$C$6</formula>
    </cfRule>
  </conditionalFormatting>
  <conditionalFormatting sqref="C6">
    <cfRule type="cellIs" dxfId="365" priority="183" operator="lessThan">
      <formula>$B$6</formula>
    </cfRule>
  </conditionalFormatting>
  <conditionalFormatting sqref="B7">
    <cfRule type="cellIs" dxfId="363" priority="182" operator="lessThan">
      <formula>$C$7</formula>
    </cfRule>
  </conditionalFormatting>
  <conditionalFormatting sqref="C7">
    <cfRule type="cellIs" dxfId="361" priority="181" operator="lessThan">
      <formula>$B$7</formula>
    </cfRule>
  </conditionalFormatting>
  <conditionalFormatting sqref="B8">
    <cfRule type="cellIs" dxfId="359" priority="180" operator="lessThan">
      <formula>$C$8</formula>
    </cfRule>
  </conditionalFormatting>
  <conditionalFormatting sqref="C8">
    <cfRule type="cellIs" dxfId="357" priority="179" operator="lessThan">
      <formula>$B$8</formula>
    </cfRule>
  </conditionalFormatting>
  <conditionalFormatting sqref="B9">
    <cfRule type="cellIs" dxfId="355" priority="178" operator="lessThan">
      <formula>$C$9</formula>
    </cfRule>
  </conditionalFormatting>
  <conditionalFormatting sqref="C9">
    <cfRule type="cellIs" dxfId="353" priority="177" operator="lessThan">
      <formula>$B$9</formula>
    </cfRule>
  </conditionalFormatting>
  <conditionalFormatting sqref="B10">
    <cfRule type="cellIs" dxfId="351" priority="176" operator="lessThan">
      <formula>$C$10</formula>
    </cfRule>
  </conditionalFormatting>
  <conditionalFormatting sqref="C10">
    <cfRule type="cellIs" dxfId="349" priority="175" operator="lessThan">
      <formula>$B$10</formula>
    </cfRule>
  </conditionalFormatting>
  <conditionalFormatting sqref="B11">
    <cfRule type="cellIs" dxfId="347" priority="174" operator="lessThan">
      <formula>$C$11</formula>
    </cfRule>
  </conditionalFormatting>
  <conditionalFormatting sqref="C11">
    <cfRule type="cellIs" dxfId="345" priority="173" operator="lessThan">
      <formula>$B$11</formula>
    </cfRule>
  </conditionalFormatting>
  <conditionalFormatting sqref="B12">
    <cfRule type="cellIs" dxfId="343" priority="172" operator="lessThan">
      <formula>$C$12</formula>
    </cfRule>
  </conditionalFormatting>
  <conditionalFormatting sqref="C12">
    <cfRule type="cellIs" dxfId="341" priority="171" operator="lessThan">
      <formula>$B$12</formula>
    </cfRule>
  </conditionalFormatting>
  <conditionalFormatting sqref="B13">
    <cfRule type="cellIs" dxfId="339" priority="170" operator="lessThan">
      <formula>$C$13</formula>
    </cfRule>
  </conditionalFormatting>
  <conditionalFormatting sqref="C13">
    <cfRule type="cellIs" dxfId="337" priority="169" operator="lessThan">
      <formula>$B$13</formula>
    </cfRule>
  </conditionalFormatting>
  <conditionalFormatting sqref="B14">
    <cfRule type="cellIs" dxfId="335" priority="168" operator="lessThan">
      <formula>$C$14</formula>
    </cfRule>
  </conditionalFormatting>
  <conditionalFormatting sqref="C14">
    <cfRule type="cellIs" dxfId="333" priority="167" operator="lessThan">
      <formula>$B$14</formula>
    </cfRule>
  </conditionalFormatting>
  <conditionalFormatting sqref="B15">
    <cfRule type="cellIs" dxfId="331" priority="166" operator="lessThan">
      <formula>$C$15</formula>
    </cfRule>
  </conditionalFormatting>
  <conditionalFormatting sqref="C15">
    <cfRule type="cellIs" dxfId="329" priority="165" operator="lessThan">
      <formula>$B$15</formula>
    </cfRule>
  </conditionalFormatting>
  <conditionalFormatting sqref="B16">
    <cfRule type="cellIs" dxfId="327" priority="164" operator="lessThan">
      <formula>$C$16</formula>
    </cfRule>
  </conditionalFormatting>
  <conditionalFormatting sqref="C16">
    <cfRule type="cellIs" dxfId="325" priority="163" operator="lessThan">
      <formula>$B$16</formula>
    </cfRule>
  </conditionalFormatting>
  <conditionalFormatting sqref="B17">
    <cfRule type="cellIs" dxfId="323" priority="162" operator="lessThan">
      <formula>$C$17</formula>
    </cfRule>
  </conditionalFormatting>
  <conditionalFormatting sqref="C17">
    <cfRule type="cellIs" dxfId="321" priority="161" operator="lessThan">
      <formula>$B$17</formula>
    </cfRule>
  </conditionalFormatting>
  <conditionalFormatting sqref="B18">
    <cfRule type="cellIs" dxfId="319" priority="160" operator="lessThan">
      <formula>$C$18</formula>
    </cfRule>
  </conditionalFormatting>
  <conditionalFormatting sqref="C18">
    <cfRule type="cellIs" dxfId="317" priority="159" operator="lessThan">
      <formula>$B$18</formula>
    </cfRule>
  </conditionalFormatting>
  <conditionalFormatting sqref="C19">
    <cfRule type="cellIs" dxfId="315" priority="158" operator="lessThan">
      <formula>$B$19</formula>
    </cfRule>
  </conditionalFormatting>
  <conditionalFormatting sqref="B19">
    <cfRule type="cellIs" dxfId="313" priority="157" operator="lessThan">
      <formula>$C$19</formula>
    </cfRule>
  </conditionalFormatting>
  <conditionalFormatting sqref="B20">
    <cfRule type="cellIs" dxfId="311" priority="156" operator="lessThan">
      <formula>$C$20</formula>
    </cfRule>
  </conditionalFormatting>
  <conditionalFormatting sqref="C20">
    <cfRule type="cellIs" dxfId="309" priority="155" operator="lessThan">
      <formula>$B$20</formula>
    </cfRule>
  </conditionalFormatting>
  <conditionalFormatting sqref="B21">
    <cfRule type="cellIs" dxfId="307" priority="154" operator="lessThan">
      <formula>$C$21</formula>
    </cfRule>
  </conditionalFormatting>
  <conditionalFormatting sqref="C21">
    <cfRule type="cellIs" dxfId="305" priority="153" operator="lessThan">
      <formula>$B$21</formula>
    </cfRule>
  </conditionalFormatting>
  <conditionalFormatting sqref="B22">
    <cfRule type="cellIs" dxfId="303" priority="152" operator="lessThan">
      <formula>$C$22</formula>
    </cfRule>
  </conditionalFormatting>
  <conditionalFormatting sqref="C22">
    <cfRule type="cellIs" dxfId="301" priority="151" operator="lessThan">
      <formula>$B$22</formula>
    </cfRule>
  </conditionalFormatting>
  <conditionalFormatting sqref="B23">
    <cfRule type="cellIs" dxfId="299" priority="150" operator="lessThan">
      <formula>$C$23</formula>
    </cfRule>
  </conditionalFormatting>
  <conditionalFormatting sqref="C23">
    <cfRule type="cellIs" dxfId="297" priority="149" operator="lessThan">
      <formula>$B$23</formula>
    </cfRule>
  </conditionalFormatting>
  <conditionalFormatting sqref="B24">
    <cfRule type="cellIs" dxfId="295" priority="148" operator="lessThan">
      <formula>$C$24</formula>
    </cfRule>
  </conditionalFormatting>
  <conditionalFormatting sqref="C24">
    <cfRule type="cellIs" dxfId="293" priority="147" operator="lessThan">
      <formula>$B$24</formula>
    </cfRule>
  </conditionalFormatting>
  <conditionalFormatting sqref="B25">
    <cfRule type="cellIs" dxfId="291" priority="146" operator="lessThan">
      <formula>$C$25</formula>
    </cfRule>
  </conditionalFormatting>
  <conditionalFormatting sqref="C25">
    <cfRule type="cellIs" dxfId="289" priority="145" operator="lessThan">
      <formula>$B$25</formula>
    </cfRule>
  </conditionalFormatting>
  <conditionalFormatting sqref="B26">
    <cfRule type="cellIs" dxfId="287" priority="144" operator="lessThan">
      <formula>$C$26</formula>
    </cfRule>
  </conditionalFormatting>
  <conditionalFormatting sqref="C26">
    <cfRule type="cellIs" dxfId="285" priority="143" operator="lessThan">
      <formula>$B$26</formula>
    </cfRule>
  </conditionalFormatting>
  <conditionalFormatting sqref="B27">
    <cfRule type="cellIs" dxfId="283" priority="142" operator="lessThan">
      <formula>$C$27</formula>
    </cfRule>
  </conditionalFormatting>
  <conditionalFormatting sqref="C27">
    <cfRule type="cellIs" dxfId="281" priority="141" operator="lessThan">
      <formula>$B$27</formula>
    </cfRule>
  </conditionalFormatting>
  <conditionalFormatting sqref="B28">
    <cfRule type="cellIs" dxfId="279" priority="140" operator="lessThan">
      <formula>$C$28</formula>
    </cfRule>
  </conditionalFormatting>
  <conditionalFormatting sqref="C28">
    <cfRule type="cellIs" dxfId="277" priority="139" operator="lessThan">
      <formula>$B$28</formula>
    </cfRule>
  </conditionalFormatting>
  <conditionalFormatting sqref="B29">
    <cfRule type="cellIs" dxfId="275" priority="138" operator="lessThan">
      <formula>$C$29</formula>
    </cfRule>
  </conditionalFormatting>
  <conditionalFormatting sqref="C29">
    <cfRule type="cellIs" dxfId="273" priority="137" operator="lessThan">
      <formula>$B$29</formula>
    </cfRule>
  </conditionalFormatting>
  <conditionalFormatting sqref="B30">
    <cfRule type="cellIs" dxfId="271" priority="136" operator="lessThan">
      <formula>$C$30</formula>
    </cfRule>
  </conditionalFormatting>
  <conditionalFormatting sqref="C30">
    <cfRule type="cellIs" dxfId="269" priority="135" operator="lessThan">
      <formula>$B$30</formula>
    </cfRule>
  </conditionalFormatting>
  <conditionalFormatting sqref="B31">
    <cfRule type="cellIs" dxfId="267" priority="134" operator="lessThan">
      <formula>$C$31</formula>
    </cfRule>
  </conditionalFormatting>
  <conditionalFormatting sqref="C31">
    <cfRule type="cellIs" dxfId="265" priority="133" operator="lessThan">
      <formula>$B$31</formula>
    </cfRule>
  </conditionalFormatting>
  <conditionalFormatting sqref="B32">
    <cfRule type="cellIs" dxfId="263" priority="132" operator="lessThan">
      <formula>$C$32</formula>
    </cfRule>
  </conditionalFormatting>
  <conditionalFormatting sqref="C32">
    <cfRule type="cellIs" dxfId="261" priority="131" operator="lessThan">
      <formula>$B$32</formula>
    </cfRule>
  </conditionalFormatting>
  <conditionalFormatting sqref="B33">
    <cfRule type="cellIs" dxfId="259" priority="130" operator="lessThan">
      <formula>$C$33</formula>
    </cfRule>
  </conditionalFormatting>
  <conditionalFormatting sqref="C33">
    <cfRule type="cellIs" dxfId="257" priority="129" operator="lessThan">
      <formula>$B$33</formula>
    </cfRule>
  </conditionalFormatting>
  <conditionalFormatting sqref="B34">
    <cfRule type="cellIs" dxfId="255" priority="128" operator="lessThan">
      <formula>$C$34</formula>
    </cfRule>
  </conditionalFormatting>
  <conditionalFormatting sqref="C34">
    <cfRule type="cellIs" dxfId="253" priority="127" operator="lessThan">
      <formula>$B$34</formula>
    </cfRule>
  </conditionalFormatting>
  <conditionalFormatting sqref="B35">
    <cfRule type="cellIs" dxfId="251" priority="126" operator="lessThan">
      <formula>$C$35</formula>
    </cfRule>
  </conditionalFormatting>
  <conditionalFormatting sqref="C35">
    <cfRule type="cellIs" dxfId="249" priority="125" operator="lessThan">
      <formula>$B$35</formula>
    </cfRule>
  </conditionalFormatting>
  <conditionalFormatting sqref="B36">
    <cfRule type="cellIs" dxfId="247" priority="124" operator="lessThan">
      <formula>$C$36</formula>
    </cfRule>
  </conditionalFormatting>
  <conditionalFormatting sqref="C36">
    <cfRule type="cellIs" dxfId="245" priority="123" operator="lessThan">
      <formula>$B$36</formula>
    </cfRule>
  </conditionalFormatting>
  <conditionalFormatting sqref="B37">
    <cfRule type="cellIs" dxfId="243" priority="122" operator="lessThan">
      <formula>$C$37</formula>
    </cfRule>
  </conditionalFormatting>
  <conditionalFormatting sqref="C37">
    <cfRule type="cellIs" dxfId="241" priority="121" operator="lessThan">
      <formula>$B$37</formula>
    </cfRule>
  </conditionalFormatting>
  <conditionalFormatting sqref="B38">
    <cfRule type="cellIs" dxfId="239" priority="120" operator="lessThan">
      <formula>$C$38</formula>
    </cfRule>
  </conditionalFormatting>
  <conditionalFormatting sqref="C38">
    <cfRule type="cellIs" dxfId="237" priority="119" operator="lessThan">
      <formula>$B$38</formula>
    </cfRule>
  </conditionalFormatting>
  <conditionalFormatting sqref="B39">
    <cfRule type="cellIs" dxfId="235" priority="118" operator="lessThan">
      <formula>$C$39</formula>
    </cfRule>
  </conditionalFormatting>
  <conditionalFormatting sqref="C39">
    <cfRule type="cellIs" dxfId="233" priority="117" operator="lessThan">
      <formula>$B$39</formula>
    </cfRule>
  </conditionalFormatting>
  <conditionalFormatting sqref="B40">
    <cfRule type="cellIs" dxfId="231" priority="116" operator="lessThan">
      <formula>$C$40</formula>
    </cfRule>
  </conditionalFormatting>
  <conditionalFormatting sqref="C40">
    <cfRule type="cellIs" dxfId="229" priority="115" operator="lessThan">
      <formula>$B$40</formula>
    </cfRule>
  </conditionalFormatting>
  <conditionalFormatting sqref="B41">
    <cfRule type="cellIs" dxfId="227" priority="114" operator="lessThan">
      <formula>$C$41</formula>
    </cfRule>
  </conditionalFormatting>
  <conditionalFormatting sqref="C41">
    <cfRule type="cellIs" dxfId="225" priority="113" operator="lessThan">
      <formula>$B$41</formula>
    </cfRule>
  </conditionalFormatting>
  <conditionalFormatting sqref="B42">
    <cfRule type="cellIs" dxfId="223" priority="112" operator="lessThan">
      <formula>$C$42</formula>
    </cfRule>
  </conditionalFormatting>
  <conditionalFormatting sqref="C42">
    <cfRule type="cellIs" dxfId="221" priority="111" operator="lessThan">
      <formula>$B$42</formula>
    </cfRule>
  </conditionalFormatting>
  <conditionalFormatting sqref="B43">
    <cfRule type="cellIs" dxfId="219" priority="110" operator="lessThan">
      <formula>$C$43</formula>
    </cfRule>
  </conditionalFormatting>
  <conditionalFormatting sqref="C43">
    <cfRule type="cellIs" dxfId="217" priority="109" operator="lessThan">
      <formula>$B$43</formula>
    </cfRule>
  </conditionalFormatting>
  <conditionalFormatting sqref="B44">
    <cfRule type="cellIs" dxfId="215" priority="108" operator="lessThan">
      <formula>$C$44</formula>
    </cfRule>
  </conditionalFormatting>
  <conditionalFormatting sqref="C44">
    <cfRule type="cellIs" dxfId="213" priority="107" operator="lessThan">
      <formula>$B$44</formula>
    </cfRule>
  </conditionalFormatting>
  <conditionalFormatting sqref="B45">
    <cfRule type="cellIs" dxfId="211" priority="106" operator="lessThan">
      <formula>$C$45</formula>
    </cfRule>
  </conditionalFormatting>
  <conditionalFormatting sqref="C45">
    <cfRule type="cellIs" dxfId="209" priority="105" operator="lessThan">
      <formula>$B$45</formula>
    </cfRule>
  </conditionalFormatting>
  <conditionalFormatting sqref="B46">
    <cfRule type="cellIs" dxfId="207" priority="104" operator="lessThan">
      <formula>$C$46</formula>
    </cfRule>
  </conditionalFormatting>
  <conditionalFormatting sqref="C46">
    <cfRule type="cellIs" dxfId="205" priority="103" operator="lessThan">
      <formula>$B$46</formula>
    </cfRule>
  </conditionalFormatting>
  <conditionalFormatting sqref="B47">
    <cfRule type="cellIs" dxfId="203" priority="102" operator="lessThan">
      <formula>$C$47</formula>
    </cfRule>
  </conditionalFormatting>
  <conditionalFormatting sqref="C47">
    <cfRule type="cellIs" dxfId="201" priority="101" operator="lessThan">
      <formula>$B$47</formula>
    </cfRule>
  </conditionalFormatting>
  <conditionalFormatting sqref="B48">
    <cfRule type="cellIs" dxfId="199" priority="100" operator="lessThan">
      <formula>$C$48</formula>
    </cfRule>
  </conditionalFormatting>
  <conditionalFormatting sqref="C48">
    <cfRule type="cellIs" dxfId="197" priority="99" operator="lessThan">
      <formula>$B$48</formula>
    </cfRule>
  </conditionalFormatting>
  <conditionalFormatting sqref="B49">
    <cfRule type="cellIs" dxfId="195" priority="98" operator="lessThan">
      <formula>$C$49</formula>
    </cfRule>
  </conditionalFormatting>
  <conditionalFormatting sqref="C49">
    <cfRule type="cellIs" dxfId="193" priority="97" operator="lessThan">
      <formula>$B$49</formula>
    </cfRule>
  </conditionalFormatting>
  <conditionalFormatting sqref="B50">
    <cfRule type="cellIs" dxfId="191" priority="96" operator="lessThan">
      <formula>$C$50</formula>
    </cfRule>
  </conditionalFormatting>
  <conditionalFormatting sqref="C50">
    <cfRule type="cellIs" dxfId="189" priority="95" operator="lessThan">
      <formula>$B$50</formula>
    </cfRule>
  </conditionalFormatting>
  <conditionalFormatting sqref="D4">
    <cfRule type="cellIs" dxfId="187" priority="94" operator="lessThan">
      <formula>$E$4</formula>
    </cfRule>
  </conditionalFormatting>
  <conditionalFormatting sqref="E4">
    <cfRule type="cellIs" dxfId="185" priority="93" operator="lessThan">
      <formula>$D$4</formula>
    </cfRule>
  </conditionalFormatting>
  <conditionalFormatting sqref="D5">
    <cfRule type="cellIs" dxfId="183" priority="92" operator="lessThan">
      <formula>$E$5</formula>
    </cfRule>
  </conditionalFormatting>
  <conditionalFormatting sqref="E5">
    <cfRule type="cellIs" dxfId="181" priority="91" operator="lessThan">
      <formula>$D$5</formula>
    </cfRule>
  </conditionalFormatting>
  <conditionalFormatting sqref="D6">
    <cfRule type="cellIs" dxfId="179" priority="90" operator="lessThan">
      <formula>$E$6</formula>
    </cfRule>
  </conditionalFormatting>
  <conditionalFormatting sqref="E6">
    <cfRule type="cellIs" dxfId="177" priority="89" operator="lessThan">
      <formula>$D$6</formula>
    </cfRule>
  </conditionalFormatting>
  <conditionalFormatting sqref="D7">
    <cfRule type="cellIs" dxfId="175" priority="88" operator="lessThan">
      <formula>$E$7</formula>
    </cfRule>
  </conditionalFormatting>
  <conditionalFormatting sqref="E7">
    <cfRule type="cellIs" dxfId="173" priority="87" operator="lessThan">
      <formula>$D$7</formula>
    </cfRule>
  </conditionalFormatting>
  <conditionalFormatting sqref="D8">
    <cfRule type="cellIs" dxfId="171" priority="86" operator="lessThan">
      <formula>$E$8</formula>
    </cfRule>
  </conditionalFormatting>
  <conditionalFormatting sqref="E8">
    <cfRule type="cellIs" dxfId="169" priority="85" operator="lessThan">
      <formula>$D$8</formula>
    </cfRule>
  </conditionalFormatting>
  <conditionalFormatting sqref="D9">
    <cfRule type="cellIs" dxfId="167" priority="84" operator="lessThan">
      <formula>$E$9</formula>
    </cfRule>
  </conditionalFormatting>
  <conditionalFormatting sqref="E9">
    <cfRule type="cellIs" dxfId="165" priority="83" operator="lessThan">
      <formula>$D$9</formula>
    </cfRule>
  </conditionalFormatting>
  <conditionalFormatting sqref="D10">
    <cfRule type="cellIs" dxfId="163" priority="82" operator="lessThan">
      <formula>$E$10</formula>
    </cfRule>
  </conditionalFormatting>
  <conditionalFormatting sqref="E10">
    <cfRule type="cellIs" dxfId="161" priority="81" operator="lessThan">
      <formula>$D$10</formula>
    </cfRule>
  </conditionalFormatting>
  <conditionalFormatting sqref="D11">
    <cfRule type="cellIs" dxfId="159" priority="80" operator="lessThan">
      <formula>$E$11</formula>
    </cfRule>
  </conditionalFormatting>
  <conditionalFormatting sqref="E11">
    <cfRule type="cellIs" dxfId="157" priority="79" operator="lessThan">
      <formula>$D$11</formula>
    </cfRule>
  </conditionalFormatting>
  <conditionalFormatting sqref="D12">
    <cfRule type="cellIs" dxfId="155" priority="78" operator="lessThan">
      <formula>$E$12</formula>
    </cfRule>
  </conditionalFormatting>
  <conditionalFormatting sqref="E12">
    <cfRule type="cellIs" dxfId="153" priority="77" operator="lessThan">
      <formula>$D$12</formula>
    </cfRule>
  </conditionalFormatting>
  <conditionalFormatting sqref="D13">
    <cfRule type="cellIs" dxfId="151" priority="76" operator="lessThan">
      <formula>$E$13</formula>
    </cfRule>
  </conditionalFormatting>
  <conditionalFormatting sqref="E13">
    <cfRule type="cellIs" dxfId="149" priority="75" operator="lessThan">
      <formula>$D$13</formula>
    </cfRule>
  </conditionalFormatting>
  <conditionalFormatting sqref="D14">
    <cfRule type="cellIs" dxfId="147" priority="74" operator="lessThan">
      <formula>$E$14</formula>
    </cfRule>
  </conditionalFormatting>
  <conditionalFormatting sqref="E14">
    <cfRule type="cellIs" dxfId="145" priority="73" operator="lessThan">
      <formula>$D$14</formula>
    </cfRule>
  </conditionalFormatting>
  <conditionalFormatting sqref="D15">
    <cfRule type="cellIs" dxfId="143" priority="72" operator="lessThan">
      <formula>$E$15</formula>
    </cfRule>
  </conditionalFormatting>
  <conditionalFormatting sqref="E15">
    <cfRule type="cellIs" dxfId="141" priority="71" operator="lessThan">
      <formula>$D$15</formula>
    </cfRule>
  </conditionalFormatting>
  <conditionalFormatting sqref="D16">
    <cfRule type="cellIs" dxfId="139" priority="70" operator="lessThan">
      <formula>$E$16</formula>
    </cfRule>
  </conditionalFormatting>
  <conditionalFormatting sqref="E16">
    <cfRule type="cellIs" dxfId="137" priority="69" operator="lessThan">
      <formula>$D$16</formula>
    </cfRule>
  </conditionalFormatting>
  <conditionalFormatting sqref="D17">
    <cfRule type="cellIs" dxfId="135" priority="68" operator="lessThan">
      <formula>$E$17</formula>
    </cfRule>
  </conditionalFormatting>
  <conditionalFormatting sqref="E17">
    <cfRule type="cellIs" dxfId="133" priority="67" operator="lessThan">
      <formula>$D$17</formula>
    </cfRule>
  </conditionalFormatting>
  <conditionalFormatting sqref="D18">
    <cfRule type="cellIs" dxfId="131" priority="66" operator="lessThan">
      <formula>$E$18</formula>
    </cfRule>
  </conditionalFormatting>
  <conditionalFormatting sqref="E18">
    <cfRule type="cellIs" dxfId="129" priority="65" operator="lessThan">
      <formula>$D$18</formula>
    </cfRule>
  </conditionalFormatting>
  <conditionalFormatting sqref="D19">
    <cfRule type="cellIs" dxfId="127" priority="64" operator="lessThan">
      <formula>$E$19</formula>
    </cfRule>
  </conditionalFormatting>
  <conditionalFormatting sqref="E19">
    <cfRule type="cellIs" dxfId="125" priority="63" operator="lessThan">
      <formula>$D$19</formula>
    </cfRule>
  </conditionalFormatting>
  <conditionalFormatting sqref="D20">
    <cfRule type="cellIs" dxfId="123" priority="62" operator="lessThan">
      <formula>$E$20</formula>
    </cfRule>
  </conditionalFormatting>
  <conditionalFormatting sqref="E20">
    <cfRule type="cellIs" dxfId="121" priority="61" operator="lessThan">
      <formula>$D$20</formula>
    </cfRule>
  </conditionalFormatting>
  <conditionalFormatting sqref="D21">
    <cfRule type="cellIs" dxfId="119" priority="60" operator="lessThan">
      <formula>$E$21</formula>
    </cfRule>
  </conditionalFormatting>
  <conditionalFormatting sqref="E21">
    <cfRule type="cellIs" dxfId="117" priority="59" operator="lessThan">
      <formula>$D$21</formula>
    </cfRule>
  </conditionalFormatting>
  <conditionalFormatting sqref="D22">
    <cfRule type="cellIs" dxfId="115" priority="58" operator="lessThan">
      <formula>$E$22</formula>
    </cfRule>
  </conditionalFormatting>
  <conditionalFormatting sqref="E22">
    <cfRule type="cellIs" dxfId="113" priority="57" operator="lessThan">
      <formula>$D$22</formula>
    </cfRule>
  </conditionalFormatting>
  <conditionalFormatting sqref="D23">
    <cfRule type="cellIs" dxfId="111" priority="56" operator="lessThan">
      <formula>$E$23</formula>
    </cfRule>
  </conditionalFormatting>
  <conditionalFormatting sqref="E23">
    <cfRule type="cellIs" dxfId="109" priority="55" operator="lessThan">
      <formula>$D$23</formula>
    </cfRule>
  </conditionalFormatting>
  <conditionalFormatting sqref="D24">
    <cfRule type="cellIs" dxfId="107" priority="54" operator="lessThan">
      <formula>$E$24</formula>
    </cfRule>
  </conditionalFormatting>
  <conditionalFormatting sqref="E24">
    <cfRule type="cellIs" dxfId="105" priority="53" operator="lessThan">
      <formula>$D$24</formula>
    </cfRule>
  </conditionalFormatting>
  <conditionalFormatting sqref="D25">
    <cfRule type="cellIs" dxfId="103" priority="52" operator="lessThan">
      <formula>$E$25</formula>
    </cfRule>
  </conditionalFormatting>
  <conditionalFormatting sqref="E25">
    <cfRule type="cellIs" dxfId="101" priority="51" operator="lessThan">
      <formula>$D$25</formula>
    </cfRule>
  </conditionalFormatting>
  <conditionalFormatting sqref="D26">
    <cfRule type="cellIs" dxfId="99" priority="50" operator="lessThan">
      <formula>$E$26</formula>
    </cfRule>
  </conditionalFormatting>
  <conditionalFormatting sqref="E26">
    <cfRule type="cellIs" dxfId="97" priority="49" operator="lessThan">
      <formula>$D$26</formula>
    </cfRule>
  </conditionalFormatting>
  <conditionalFormatting sqref="D27">
    <cfRule type="cellIs" dxfId="95" priority="48" operator="lessThan">
      <formula>$E$27</formula>
    </cfRule>
  </conditionalFormatting>
  <conditionalFormatting sqref="E27">
    <cfRule type="cellIs" dxfId="93" priority="47" operator="lessThan">
      <formula>$D$27</formula>
    </cfRule>
  </conditionalFormatting>
  <conditionalFormatting sqref="D28">
    <cfRule type="cellIs" dxfId="91" priority="46" operator="lessThan">
      <formula>$E$28</formula>
    </cfRule>
  </conditionalFormatting>
  <conditionalFormatting sqref="E28">
    <cfRule type="cellIs" dxfId="89" priority="45" operator="lessThan">
      <formula>$D$28</formula>
    </cfRule>
  </conditionalFormatting>
  <conditionalFormatting sqref="D29">
    <cfRule type="cellIs" dxfId="87" priority="44" operator="lessThan">
      <formula>$E$29</formula>
    </cfRule>
  </conditionalFormatting>
  <conditionalFormatting sqref="E29">
    <cfRule type="cellIs" dxfId="85" priority="43" operator="lessThan">
      <formula>$D$29</formula>
    </cfRule>
  </conditionalFormatting>
  <conditionalFormatting sqref="D30">
    <cfRule type="cellIs" dxfId="83" priority="42" operator="lessThan">
      <formula>$E$30</formula>
    </cfRule>
  </conditionalFormatting>
  <conditionalFormatting sqref="E30">
    <cfRule type="cellIs" dxfId="81" priority="41" operator="lessThan">
      <formula>$D$30</formula>
    </cfRule>
  </conditionalFormatting>
  <conditionalFormatting sqref="D31">
    <cfRule type="cellIs" dxfId="79" priority="40" operator="lessThan">
      <formula>$E$31</formula>
    </cfRule>
  </conditionalFormatting>
  <conditionalFormatting sqref="E31">
    <cfRule type="cellIs" dxfId="77" priority="39" operator="lessThan">
      <formula>$D$31</formula>
    </cfRule>
  </conditionalFormatting>
  <conditionalFormatting sqref="D32">
    <cfRule type="cellIs" dxfId="75" priority="38" operator="lessThan">
      <formula>$E$32</formula>
    </cfRule>
  </conditionalFormatting>
  <conditionalFormatting sqref="E32">
    <cfRule type="cellIs" dxfId="73" priority="37" operator="lessThan">
      <formula>$D$32</formula>
    </cfRule>
  </conditionalFormatting>
  <conditionalFormatting sqref="D33">
    <cfRule type="cellIs" dxfId="71" priority="36" operator="lessThan">
      <formula>$E$33</formula>
    </cfRule>
  </conditionalFormatting>
  <conditionalFormatting sqref="E33">
    <cfRule type="cellIs" dxfId="69" priority="35" operator="lessThan">
      <formula>$D$33</formula>
    </cfRule>
  </conditionalFormatting>
  <conditionalFormatting sqref="D34">
    <cfRule type="cellIs" dxfId="67" priority="34" operator="lessThan">
      <formula>$E$34</formula>
    </cfRule>
  </conditionalFormatting>
  <conditionalFormatting sqref="E34">
    <cfRule type="cellIs" dxfId="65" priority="33" operator="lessThan">
      <formula>$D$34</formula>
    </cfRule>
  </conditionalFormatting>
  <conditionalFormatting sqref="D35">
    <cfRule type="cellIs" dxfId="63" priority="32" operator="lessThan">
      <formula>$E$35</formula>
    </cfRule>
  </conditionalFormatting>
  <conditionalFormatting sqref="E35">
    <cfRule type="cellIs" dxfId="61" priority="31" operator="lessThan">
      <formula>$D$35</formula>
    </cfRule>
  </conditionalFormatting>
  <conditionalFormatting sqref="D36">
    <cfRule type="cellIs" dxfId="59" priority="30" operator="lessThan">
      <formula>$E$36</formula>
    </cfRule>
  </conditionalFormatting>
  <conditionalFormatting sqref="E36">
    <cfRule type="cellIs" dxfId="57" priority="29" operator="lessThan">
      <formula>$D$36</formula>
    </cfRule>
  </conditionalFormatting>
  <conditionalFormatting sqref="D37">
    <cfRule type="cellIs" dxfId="55" priority="28" operator="lessThan">
      <formula>$E$37</formula>
    </cfRule>
  </conditionalFormatting>
  <conditionalFormatting sqref="E37">
    <cfRule type="cellIs" dxfId="53" priority="27" operator="lessThan">
      <formula>$D$37</formula>
    </cfRule>
  </conditionalFormatting>
  <conditionalFormatting sqref="D38">
    <cfRule type="cellIs" dxfId="51" priority="26" operator="lessThan">
      <formula>$E$38</formula>
    </cfRule>
  </conditionalFormatting>
  <conditionalFormatting sqref="E38">
    <cfRule type="cellIs" dxfId="49" priority="25" operator="lessThan">
      <formula>$D$38</formula>
    </cfRule>
  </conditionalFormatting>
  <conditionalFormatting sqref="D39">
    <cfRule type="cellIs" dxfId="47" priority="24" operator="lessThan">
      <formula>$E$39</formula>
    </cfRule>
  </conditionalFormatting>
  <conditionalFormatting sqref="E39">
    <cfRule type="cellIs" dxfId="45" priority="23" operator="lessThan">
      <formula>$D$39</formula>
    </cfRule>
  </conditionalFormatting>
  <conditionalFormatting sqref="D40">
    <cfRule type="cellIs" dxfId="43" priority="22" operator="lessThan">
      <formula>$E$40</formula>
    </cfRule>
  </conditionalFormatting>
  <conditionalFormatting sqref="E40">
    <cfRule type="cellIs" dxfId="41" priority="21" operator="lessThan">
      <formula>$D$40</formula>
    </cfRule>
  </conditionalFormatting>
  <conditionalFormatting sqref="D41">
    <cfRule type="cellIs" dxfId="39" priority="20" operator="lessThan">
      <formula>$E$41</formula>
    </cfRule>
  </conditionalFormatting>
  <conditionalFormatting sqref="E41">
    <cfRule type="cellIs" dxfId="37" priority="19" operator="lessThan">
      <formula>$D$41</formula>
    </cfRule>
  </conditionalFormatting>
  <conditionalFormatting sqref="D42">
    <cfRule type="cellIs" dxfId="35" priority="18" operator="lessThan">
      <formula>$E$42</formula>
    </cfRule>
  </conditionalFormatting>
  <conditionalFormatting sqref="E42">
    <cfRule type="cellIs" dxfId="33" priority="17" operator="lessThan">
      <formula>$D$42</formula>
    </cfRule>
  </conditionalFormatting>
  <conditionalFormatting sqref="D43">
    <cfRule type="cellIs" dxfId="31" priority="16" operator="lessThan">
      <formula>$E$43</formula>
    </cfRule>
  </conditionalFormatting>
  <conditionalFormatting sqref="E43">
    <cfRule type="cellIs" dxfId="29" priority="15" operator="lessThan">
      <formula>$D$43</formula>
    </cfRule>
  </conditionalFormatting>
  <conditionalFormatting sqref="D44">
    <cfRule type="cellIs" dxfId="27" priority="14" operator="lessThan">
      <formula>$E$44</formula>
    </cfRule>
  </conditionalFormatting>
  <conditionalFormatting sqref="E44">
    <cfRule type="cellIs" dxfId="25" priority="13" operator="lessThan">
      <formula>$D$44</formula>
    </cfRule>
  </conditionalFormatting>
  <conditionalFormatting sqref="D45">
    <cfRule type="cellIs" dxfId="23" priority="12" operator="lessThan">
      <formula>$E$45</formula>
    </cfRule>
  </conditionalFormatting>
  <conditionalFormatting sqref="E45">
    <cfRule type="cellIs" dxfId="21" priority="11" operator="lessThan">
      <formula>$D$45</formula>
    </cfRule>
  </conditionalFormatting>
  <conditionalFormatting sqref="D46">
    <cfRule type="cellIs" dxfId="19" priority="10" operator="lessThan">
      <formula>$E$46</formula>
    </cfRule>
  </conditionalFormatting>
  <conditionalFormatting sqref="E46">
    <cfRule type="cellIs" dxfId="17" priority="9" operator="lessThan">
      <formula>$D$46</formula>
    </cfRule>
  </conditionalFormatting>
  <conditionalFormatting sqref="D47">
    <cfRule type="cellIs" dxfId="15" priority="8" operator="lessThan">
      <formula>$E$47</formula>
    </cfRule>
  </conditionalFormatting>
  <conditionalFormatting sqref="E47">
    <cfRule type="cellIs" dxfId="13" priority="7" operator="lessThan">
      <formula>$D$47</formula>
    </cfRule>
  </conditionalFormatting>
  <conditionalFormatting sqref="D48">
    <cfRule type="cellIs" dxfId="11" priority="6" operator="lessThan">
      <formula>$E$48</formula>
    </cfRule>
  </conditionalFormatting>
  <conditionalFormatting sqref="E48">
    <cfRule type="cellIs" dxfId="9" priority="5" operator="lessThan">
      <formula>$D$48</formula>
    </cfRule>
  </conditionalFormatting>
  <conditionalFormatting sqref="D49">
    <cfRule type="cellIs" dxfId="7" priority="4" operator="lessThan">
      <formula>$E$49</formula>
    </cfRule>
  </conditionalFormatting>
  <conditionalFormatting sqref="E49">
    <cfRule type="cellIs" dxfId="5" priority="3" operator="lessThan">
      <formula>$D$49</formula>
    </cfRule>
  </conditionalFormatting>
  <conditionalFormatting sqref="D50">
    <cfRule type="cellIs" dxfId="3" priority="2" operator="lessThan">
      <formula>$E$50</formula>
    </cfRule>
  </conditionalFormatting>
  <conditionalFormatting sqref="E50">
    <cfRule type="cellIs" dxfId="1" priority="1" operator="lessThan">
      <formula>$D$50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Vierge</vt:lpstr>
      <vt:lpstr>01</vt:lpstr>
      <vt:lpstr>02</vt:lpstr>
      <vt:lpstr>03</vt:lpstr>
      <vt:lpstr>04</vt:lpstr>
      <vt:lpstr>05</vt:lpstr>
      <vt:lpstr>07</vt:lpstr>
      <vt:lpstr>08</vt:lpstr>
      <vt:lpstr>09</vt:lpstr>
      <vt:lpstr>10</vt:lpstr>
      <vt:lpstr>11</vt:lpstr>
      <vt:lpstr>12</vt:lpstr>
      <vt:lpstr>14</vt:lpstr>
      <vt:lpstr>15</vt:lpstr>
      <vt:lpstr>16</vt:lpstr>
      <vt:lpstr>17</vt:lpstr>
      <vt:lpstr>18</vt:lpstr>
      <vt:lpstr>19</vt:lpstr>
      <vt:lpstr>21</vt:lpstr>
      <vt:lpstr>22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2026-09-01T08:01:24Z</dcterms:created>
  <dcterms:modified xsi:type="dcterms:W3CDTF">2026-09-22T08:34:25Z</dcterms:modified>
</cp:coreProperties>
</file>