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1.xml" ContentType="application/vnd.openxmlformats-officedocument.spreadsheetml.comments+xml"/>
  <Override PartName="/xl/worksheets/sheet16.xml" ContentType="application/vnd.openxmlformats-officedocument.spreadsheetml.worksheet+xml"/>
  <Override PartName="/xl/comments/comment2.xml" ContentType="application/vnd.openxmlformats-officedocument.spreadsheetml.comments+xml"/>
  <Override PartName="/xl/worksheets/sheet1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360" windowWidth="28275" windowHeight="12060" tabRatio="600" firstSheet="0" activeTab="13" autoFilterDateGrouping="1"/>
  </bookViews>
  <sheets>
    <sheet xmlns:r="http://schemas.openxmlformats.org/officeDocument/2006/relationships" name="Vierge" sheetId="1" state="visible" r:id="rId1"/>
    <sheet xmlns:r="http://schemas.openxmlformats.org/officeDocument/2006/relationships" name="01" sheetId="2" state="visible" r:id="rId2"/>
    <sheet xmlns:r="http://schemas.openxmlformats.org/officeDocument/2006/relationships" name="02" sheetId="3" state="visible" r:id="rId3"/>
    <sheet xmlns:r="http://schemas.openxmlformats.org/officeDocument/2006/relationships" name="03" sheetId="4" state="visible" r:id="rId4"/>
    <sheet xmlns:r="http://schemas.openxmlformats.org/officeDocument/2006/relationships" name="04" sheetId="5" state="visible" r:id="rId5"/>
    <sheet xmlns:r="http://schemas.openxmlformats.org/officeDocument/2006/relationships" name="05" sheetId="6" state="visible" r:id="rId6"/>
    <sheet xmlns:r="http://schemas.openxmlformats.org/officeDocument/2006/relationships" name="07" sheetId="7" state="visible" r:id="rId7"/>
    <sheet xmlns:r="http://schemas.openxmlformats.org/officeDocument/2006/relationships" name="08" sheetId="8" state="visible" r:id="rId8"/>
    <sheet xmlns:r="http://schemas.openxmlformats.org/officeDocument/2006/relationships" name="0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4" sheetId="13" state="visible" r:id="rId13"/>
    <sheet xmlns:r="http://schemas.openxmlformats.org/officeDocument/2006/relationships" name="15" sheetId="14" state="visible" r:id="rId14"/>
    <sheet xmlns:r="http://schemas.openxmlformats.org/officeDocument/2006/relationships" name="16" sheetId="15" state="visible" r:id="rId15"/>
    <sheet xmlns:r="http://schemas.openxmlformats.org/officeDocument/2006/relationships" name="17" sheetId="16" state="visible" r:id="rId16"/>
    <sheet xmlns:r="http://schemas.openxmlformats.org/officeDocument/2006/relationships" name="18" sheetId="17" state="visible" r:id="rId17"/>
  </sheets>
  <definedNames/>
  <calcPr calcId="145621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2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dxfs count="28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Import facture directe v1</author>
  </authors>
  <commentList>
    <comment ref="A4" authorId="0" shapeId="0">
      <text>
        <t>{"empreinte_facture": "4a6e397a84b57f55b4343d62befe6fd40d57307454bf738776ce4ceecb767851", "empreinte_ligne": "fe6e9a731bda942c10ce856015ffbdf90445d16c254b29e1ef8ce217eb8588d1", "facture_id": "832c47845d9d5b8fd88feb7488094298a60048a40732f96718791c158d09076d", "id": "livraison:2026-09-16:0000087004629:direct-terreazur:7835386508:1", "version": 1}</t>
      </text>
    </comment>
    <comment ref="A5" authorId="0" shapeId="0">
      <text>
        <t>{"empreinte_facture": "4a6e397a84b57f55b4343d62befe6fd40d57307454bf738776ce4ceecb767851", "empreinte_ligne": "30be03e1099fe06eaaf58a2e2f1a3c118939f1bfd28cc6a8dd029c87e4150dc0", "facture_id": "832c47845d9d5b8fd88feb7488094298a60048a40732f96718791c158d09076d", "id": "livraison:2026-09-16:0000087004689:direct-terreazur:7835386508:2", "version": 1}</t>
      </text>
    </comment>
    <comment ref="A6" authorId="0" shapeId="0">
      <text>
        <t>{"empreinte_facture": "4a6e397a84b57f55b4343d62befe6fd40d57307454bf738776ce4ceecb767851", "empreinte_ligne": "23d7adc64afe06d2bc758cb33b0adb5a3c7f183c8c555a737b7ad50507ae9d51", "facture_id": "832c47845d9d5b8fd88feb7488094298a60048a40732f96718791c158d09076d", "id": "livraison:2026-09-16:0000087004222:direct-terreazur:7835386508:3", "version": 1}</t>
      </text>
    </comment>
    <comment ref="A7" authorId="0" shapeId="0">
      <text>
        <t>{"empreinte_facture": "4a6e397a84b57f55b4343d62befe6fd40d57307454bf738776ce4ceecb767851", "empreinte_ligne": "03ff50a85082d17c210913b1350bf03b08493463b3afe0f576c618c4370cf9b5", "facture_id": "832c47845d9d5b8fd88feb7488094298a60048a40732f96718791c158d09076d", "id": "livraison:2026-09-16:0000087003113:direct-terreazur:7835386508:4", "version": 1}</t>
      </text>
    </comment>
    <comment ref="A8" authorId="0" shapeId="0">
      <text>
        <t>{"empreinte_facture": "4a6e397a84b57f55b4343d62befe6fd40d57307454bf738776ce4ceecb767851", "empreinte_ligne": "a402aded3e2737a1c6aa3c5859d6b3d07c249479418dbc083b858cfaad9197bb", "facture_id": "832c47845d9d5b8fd88feb7488094298a60048a40732f96718791c158d09076d", "id": "livraison:2026-09-16:0000087003089:direct-terreazur:7835386508:5", "version": 1}</t>
      </text>
    </comment>
    <comment ref="A9" authorId="0" shapeId="0">
      <text>
        <t>{"empreinte_facture": "4a6e397a84b57f55b4343d62befe6fd40d57307454bf738776ce4ceecb767851", "empreinte_ligne": "8f2505e652ccdd8622d03b7478460558df999a76dc2c16356207fabf97979475", "facture_id": "832c47845d9d5b8fd88feb7488094298a60048a40732f96718791c158d09076d", "id": "livraison:2026-09-16:0000087003329:direct-terreazur:7835386508:6", "version": 1}</t>
      </text>
    </comment>
    <comment ref="A10" authorId="0" shapeId="0">
      <text>
        <t>{"empreinte_facture": "4a6e397a84b57f55b4343d62befe6fd40d57307454bf738776ce4ceecb767851", "empreinte_ligne": "096f30a8341f4993ec34ba6b17ac16f167366f3a5aa69ba81afa5d00281eff03", "facture_id": "832c47845d9d5b8fd88feb7488094298a60048a40732f96718791c158d09076d", "id": "livraison:2026-09-16:0000087003330:direct-terreazur:7835386508:7", "version": 1}</t>
      </text>
    </comment>
    <comment ref="A11" authorId="0" shapeId="0">
      <text>
        <t>{"empreinte_facture": "4a6e397a84b57f55b4343d62befe6fd40d57307454bf738776ce4ceecb767851", "empreinte_ligne": "f2e8c0e0da7ce8c53e539a7c3f6bc0b50bd034a8dafe8d01d5ea121395ffbbf4", "facture_id": "832c47845d9d5b8fd88feb7488094298a60048a40732f96718791c158d09076d", "id": "livraison:2026-09-16:0000087003169:direct-terreazur:7835386508:8", "version": 1}</t>
      </text>
    </comment>
    <comment ref="A12" authorId="0" shapeId="0">
      <text>
        <t>{"empreinte_facture": "4a6e397a84b57f55b4343d62befe6fd40d57307454bf738776ce4ceecb767851", "empreinte_ligne": "33921f90063b4cb997ca252ce44a2c28aaff825d3f012aa1db05f76103238a90", "facture_id": "832c47845d9d5b8fd88feb7488094298a60048a40732f96718791c158d09076d", "id": "livraison:2026-09-16:0000087004128:direct-terreazur:7835386508:9", "version": 1}</t>
      </text>
    </comment>
    <comment ref="A13" authorId="0" shapeId="0">
      <text>
        <t>{"empreinte_facture": "4a6e397a84b57f55b4343d62befe6fd40d57307454bf738776ce4ceecb767851", "empreinte_ligne": "0dff4d94152965ab87d327db6809ebd8a420587fde1dcea861ac48b7d7766f5e", "facture_id": "832c47845d9d5b8fd88feb7488094298a60048a40732f96718791c158d09076d", "id": "livraison:2026-09-16:0000087004076:direct-terreazur:7835386508:10", "version": 1}</t>
      </text>
    </comment>
    <comment ref="A14" authorId="0" shapeId="0">
      <text>
        <t>{"empreinte_facture": "4a6e397a84b57f55b4343d62befe6fd40d57307454bf738776ce4ceecb767851", "empreinte_ligne": "17c7cd23e1738f633d8103b38a653b52602ef4475cce64de0bed89a1b0989c57", "facture_id": "832c47845d9d5b8fd88feb7488094298a60048a40732f96718791c158d09076d", "id": "livraison:2026-09-16:0000087004059:direct-terreazur:7835386508:11", "version": 1}</t>
      </text>
    </comment>
  </commentList>
</comments>
</file>

<file path=xl/comments/comment2.xml><?xml version="1.0" encoding="utf-8"?>
<comments xmlns="http://schemas.openxmlformats.org/spreadsheetml/2006/main">
  <authors>
    <author>Import facture directe v1</author>
  </authors>
  <commentList>
    <comment ref="A4" authorId="0" shapeId="0">
      <text>
        <t>{"empreinte_facture": "b47e785f139885a99dc44cd1bd5616dbfec7a8ddc682ab331cfeed2aeee47567", "empreinte_ligne": "d368172e1524f1a0988de1d189c3ab94477e0b0590415911a2dce9814f21d2c6", "facture_id": "c07ed79fb261289cc7bc6b56b1f0940ceebc1eaaf3ba22fbfcc37b2df549dc4c", "id": "livraison:2026-09-17:0000087004082:direct-terreazur:7835387231:1", "version": 1}</t>
      </text>
    </comment>
    <comment ref="A5" authorId="0" shapeId="0">
      <text>
        <t>{"empreinte_facture": "b47e785f139885a99dc44cd1bd5616dbfec7a8ddc682ab331cfeed2aeee47567", "empreinte_ligne": "6caf3d1824f044ef081dedc722ceb7576b056ae25330d9b62c26f090e92f5b72", "facture_id": "c07ed79fb261289cc7bc6b56b1f0940ceebc1eaaf3ba22fbfcc37b2df549dc4c", "id": "livraison:2026-09-17:0000087003119:direct-terreazur:7835387231:2", "version": 1}</t>
      </text>
    </comment>
    <comment ref="A6" authorId="0" shapeId="0">
      <text>
        <t>{"empreinte_facture": "b47e785f139885a99dc44cd1bd5616dbfec7a8ddc682ab331cfeed2aeee47567", "empreinte_ligne": "57e2c58a9433d0c583cc202886838ed965e457095caf923b53fe1f2f7aba9835", "facture_id": "c07ed79fb261289cc7bc6b56b1f0940ceebc1eaaf3ba22fbfcc37b2df549dc4c", "id": "livraison:2026-09-17:0000087003113:direct-terreazur:7835387231:3", "version": 1}</t>
      </text>
    </comment>
    <comment ref="A7" authorId="0" shapeId="0">
      <text>
        <t>{"empreinte_facture": "b47e785f139885a99dc44cd1bd5616dbfec7a8ddc682ab331cfeed2aeee47567", "empreinte_ligne": "d14f291c366d1ed3d3663e888fe413b086714a54773c74e63a1c06181fb957b2", "facture_id": "c07ed79fb261289cc7bc6b56b1f0940ceebc1eaaf3ba22fbfcc37b2df549dc4c", "id": "livraison:2026-09-17:0000087003330:direct-terreazur:7835387231:4", "version": 1}</t>
      </text>
    </comment>
    <comment ref="A8" authorId="0" shapeId="0">
      <text>
        <t>{"empreinte_facture": "b47e785f139885a99dc44cd1bd5616dbfec7a8ddc682ab331cfeed2aeee47567", "empreinte_ligne": "b18fdda8eca603c4b75e97fda5c14c50985808dcf91322569312476a2e2c4ecf", "facture_id": "c07ed79fb261289cc7bc6b56b1f0940ceebc1eaaf3ba22fbfcc37b2df549dc4c", "id": "livraison:2026-09-17:0000087003329:direct-terreazur:7835387231:5", "version": 1}</t>
      </text>
    </comment>
    <comment ref="A9" authorId="0" shapeId="0">
      <text>
        <t>{"empreinte_facture": "b47e785f139885a99dc44cd1bd5616dbfec7a8ddc682ab331cfeed2aeee47567", "empreinte_ligne": "473262eba2e529e50d14f9619e1aa7c5dc6337e7e890c3e7a00ad9ed21744cde", "facture_id": "c07ed79fb261289cc7bc6b56b1f0940ceebc1eaaf3ba22fbfcc37b2df549dc4c", "id": "livraison:2026-09-17:0000087003169:direct-terreazur:7835387231:6", "version": 1}</t>
      </text>
    </comment>
    <comment ref="A10" authorId="0" shapeId="0">
      <text>
        <t>{"empreinte_facture": "b47e785f139885a99dc44cd1bd5616dbfec7a8ddc682ab331cfeed2aeee47567", "empreinte_ligne": "5fbfa01b331691e1dec4c825b8d66b4198e4d15b0e092c18afbf03ade3a1ed9a", "facture_id": "c07ed79fb261289cc7bc6b56b1f0940ceebc1eaaf3ba22fbfcc37b2df549dc4c", "id": "livraison:2026-09-17:0000087004128:direct-terreazur:7835387231:7", "version": 1}</t>
      </text>
    </comment>
    <comment ref="A11" authorId="0" shapeId="0">
      <text>
        <t>{"empreinte_facture": "b47e785f139885a99dc44cd1bd5616dbfec7a8ddc682ab331cfeed2aeee47567", "empreinte_ligne": "137f6e4417682512d0540d0256d1cd387c8d66c9fa540245f5d2b27d600d41c6", "facture_id": "c07ed79fb261289cc7bc6b56b1f0940ceebc1eaaf3ba22fbfcc37b2df549dc4c", "id": "livraison:2026-09-17:0000087004076:direct-terreazur:7835387231:8", "version": 1}</t>
      </text>
    </comment>
    <comment ref="A12" authorId="0" shapeId="0">
      <text>
        <t>{"empreinte_facture": "b47e785f139885a99dc44cd1bd5616dbfec7a8ddc682ab331cfeed2aeee47567", "empreinte_ligne": "0f2cb8d7629e61fc0e5648eaf26abbd65fcda218c809562ccca0ec044e2fe1a7", "facture_id": "c07ed79fb261289cc7bc6b56b1f0940ceebc1eaaf3ba22fbfcc37b2df549dc4c", "id": "livraison:2026-09-17:0000087004222:direct-terreazur:7835387231:9", "version": 1}</t>
      </text>
    </comment>
    <comment ref="A13" authorId="0" shapeId="0">
      <text>
        <t>{"empreinte_facture": "b47e785f139885a99dc44cd1bd5616dbfec7a8ddc682ab331cfeed2aeee47567", "empreinte_ligne": "b41357f6f74df6b4a9a53631301fd930872220e0b11e30d7661d310d294b94f4", "facture_id": "c07ed79fb261289cc7bc6b56b1f0940ceebc1eaaf3ba22fbfcc37b2df549dc4c", "id": "livraison:2026-09-17:0000087004059:direct-terreazur:7835387231:10", "version": 1}</t>
      </text>
    </comment>
    <comment ref="A14" authorId="0" shapeId="0">
      <text>
        <t>{"empreinte_facture": "b47e785f139885a99dc44cd1bd5616dbfec7a8ddc682ab331cfeed2aeee47567", "empreinte_ligne": "05a62945a26b8f8cba536262a345d683b7d7e84d78ad83a99d9300f7de61f5c9", "facture_id": "c07ed79fb261289cc7bc6b56b1f0940ceebc1eaaf3ba22fbfcc37b2df549dc4c", "id": "livraison:2026-09-17:0000087003089:direct-terreazur:7835387231:11", "version": 1}</t>
      </text>
    </comment>
  </commentList>
</comments>
</file>

<file path=xl/comments/comment3.xml><?xml version="1.0" encoding="utf-8"?>
<comments xmlns="http://schemas.openxmlformats.org/spreadsheetml/2006/main">
  <authors>
    <author>Import facture directe v1</author>
  </authors>
  <commentList>
    <comment ref="A4" authorId="0" shapeId="0">
      <text>
        <t>{"empreinte_facture": "cec965695e13f71dd4331d16ab1adfa28a42c934fe234d588d3c6ec922ce0c8c", "empreinte_ligne": "2bc78d39ded9a3c574057aff7a930a596efbd2574f302924240a71fd4ccb64d9", "facture_id": "63b9a7aa59ce132a7c821e3a5d2599e038f538d9c837e5ceff7c5367f751fa7a", "id": "livraison:2026-09-18:0000087004629:direct-terreazur:7835388057:1", "version": 1}</t>
      </text>
    </comment>
    <comment ref="A5" authorId="0" shapeId="0">
      <text>
        <t>{"empreinte_facture": "cec965695e13f71dd4331d16ab1adfa28a42c934fe234d588d3c6ec922ce0c8c", "empreinte_ligne": "c1a673f30e65f5fffb0fa0717a103b51fd9e98bd1c329f8eeacd748bb8c08718", "facture_id": "63b9a7aa59ce132a7c821e3a5d2599e038f538d9c837e5ceff7c5367f751fa7a", "id": "livraison:2026-09-18:0000087004662:direct-terreazur:7835388057:2", "version": 1}</t>
      </text>
    </comment>
    <comment ref="A6" authorId="0" shapeId="0">
      <text>
        <t>{"empreinte_facture": "cec965695e13f71dd4331d16ab1adfa28a42c934fe234d588d3c6ec922ce0c8c", "empreinte_ligne": "41e439780e2c90847e412c35f0fd9161873f6a31fe6b97218a5be01f2962ecff", "facture_id": "63b9a7aa59ce132a7c821e3a5d2599e038f538d9c837e5ceff7c5367f751fa7a", "id": "livraison:2026-09-18:0000087004082:direct-terreazur:7835388057:3", "version": 1}</t>
      </text>
    </comment>
    <comment ref="A7" authorId="0" shapeId="0">
      <text>
        <t>{"empreinte_facture": "cec965695e13f71dd4331d16ab1adfa28a42c934fe234d588d3c6ec922ce0c8c", "empreinte_ligne": "eff7602f394d45afa94e62dacee382af61354181748e0117f3460077763494c6", "facture_id": "63b9a7aa59ce132a7c821e3a5d2599e038f538d9c837e5ceff7c5367f751fa7a", "id": "livraison:2026-09-18:0000087003113:direct-terreazur:7835388057:4", "version": 1}</t>
      </text>
    </comment>
    <comment ref="A8" authorId="0" shapeId="0">
      <text>
        <t>{"empreinte_facture": "cec965695e13f71dd4331d16ab1adfa28a42c934fe234d588d3c6ec922ce0c8c", "empreinte_ligne": "201e819a440613ad6788001eb5f69a5757a3a512e80c2d126a08f3b80f589593", "facture_id": "63b9a7aa59ce132a7c821e3a5d2599e038f538d9c837e5ceff7c5367f751fa7a", "id": "livraison:2026-09-18:0000087003329:direct-terreazur:7835388057:5", "version": 1}</t>
      </text>
    </comment>
    <comment ref="A9" authorId="0" shapeId="0">
      <text>
        <t>{"empreinte_facture": "cec965695e13f71dd4331d16ab1adfa28a42c934fe234d588d3c6ec922ce0c8c", "empreinte_ligne": "2dd4346d8562267b65aa1b6ccef46633d0f55a70efa76bc3344476dac366cc88", "facture_id": "63b9a7aa59ce132a7c821e3a5d2599e038f538d9c837e5ceff7c5367f751fa7a", "id": "livraison:2026-09-18:0000087003169:direct-terreazur:7835388057:6", "version": 1}</t>
      </text>
    </comment>
    <comment ref="A10" authorId="0" shapeId="0">
      <text>
        <t>{"empreinte_facture": "cec965695e13f71dd4331d16ab1adfa28a42c934fe234d588d3c6ec922ce0c8c", "empreinte_ligne": "86bf0d9e1b98fc242acc662cdfd2f9591802e9fb648aff24f053db10bc1b1cf6", "facture_id": "63b9a7aa59ce132a7c821e3a5d2599e038f538d9c837e5ceff7c5367f751fa7a", "id": "livraison:2026-09-18:0000087004128:direct-terreazur:7835388057:7", "version": 1}</t>
      </text>
    </comment>
    <comment ref="A11" authorId="0" shapeId="0">
      <text>
        <t>{"empreinte_facture": "cec965695e13f71dd4331d16ab1adfa28a42c934fe234d588d3c6ec922ce0c8c", "empreinte_ligne": "137f6e4417682512d0540d0256d1cd387c8d66c9fa540245f5d2b27d600d41c6", "facture_id": "63b9a7aa59ce132a7c821e3a5d2599e038f538d9c837e5ceff7c5367f751fa7a", "id": "livraison:2026-09-18:0000087004076:direct-terreazur:7835388057:8", "version": 1}</t>
      </text>
    </comment>
    <comment ref="A12" authorId="0" shapeId="0">
      <text>
        <t>{"empreinte_facture": "cec965695e13f71dd4331d16ab1adfa28a42c934fe234d588d3c6ec922ce0c8c", "empreinte_ligne": "ef9b5a609ebd089d2d3eb438e857727d83179bc18cf6e73d409ed8cc6eb673ba", "facture_id": "63b9a7aa59ce132a7c821e3a5d2599e038f538d9c837e5ceff7c5367f751fa7a", "id": "livraison:2026-09-18:0000087004059:direct-terreazur:7835388057:9", "version": 1}</t>
      </text>
    </comment>
    <comment ref="A13" authorId="0" shapeId="0">
      <text>
        <t>{"empreinte_facture": "cec965695e13f71dd4331d16ab1adfa28a42c934fe234d588d3c6ec922ce0c8c", "empreinte_ligne": "383f4cdf00d1110481d2d7dab725e301194b801b8c58c1330d1808ff07fefc75", "facture_id": "63b9a7aa59ce132a7c821e3a5d2599e038f538d9c837e5ceff7c5367f751fa7a", "id": "livraison:2026-09-18:0000087003089:direct-terreazur:7835388057:10", "version": 1}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B12" sqref="A1:XFD1048576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E8" sqref="E8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 xml:space="preserve">Poireau </t>
        </is>
      </c>
      <c r="B4" t="n">
        <v>2.8</v>
      </c>
      <c r="C4" t="n">
        <v>2.1</v>
      </c>
      <c r="D4" t="n">
        <v>3.99</v>
      </c>
      <c r="E4" t="n">
        <v>3.29</v>
      </c>
      <c r="F4" t="n">
        <v>10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Poivron rouge</t>
        </is>
      </c>
      <c r="B5" t="n">
        <v>2.95</v>
      </c>
      <c r="C5" t="n">
        <v>2.1</v>
      </c>
      <c r="D5" t="n">
        <v>4.49</v>
      </c>
      <c r="E5" t="n">
        <v>4.99</v>
      </c>
      <c r="F5" t="n">
        <v>10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Poivron jaune</t>
        </is>
      </c>
      <c r="B6" t="n">
        <v>4.59</v>
      </c>
      <c r="C6" t="n">
        <v>2.99</v>
      </c>
      <c r="D6" t="n">
        <v>6.49</v>
      </c>
      <c r="E6" t="n">
        <v>4.99</v>
      </c>
      <c r="F6" t="n">
        <v>5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Peche plate</t>
        </is>
      </c>
      <c r="B7" t="n">
        <v>2.75</v>
      </c>
      <c r="C7" t="n">
        <v>1.69</v>
      </c>
      <c r="D7" t="n">
        <v>3.99</v>
      </c>
      <c r="E7" t="n">
        <v>2.99</v>
      </c>
      <c r="F7" t="n">
        <v>15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F.Chêne brune</t>
        </is>
      </c>
      <c r="B8" t="n">
        <v>1.25</v>
      </c>
      <c r="C8" t="n">
        <v>1.4</v>
      </c>
      <c r="D8" t="n">
        <v>1.69</v>
      </c>
      <c r="E8" t="n">
        <v>1.99</v>
      </c>
      <c r="F8" t="n">
        <v>30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F.chêne blonde</t>
        </is>
      </c>
      <c r="B9" t="n">
        <v>1.45</v>
      </c>
      <c r="C9" t="n">
        <v>1.4</v>
      </c>
      <c r="D9" t="n">
        <v>1.89</v>
      </c>
      <c r="E9" t="n">
        <v>1.99</v>
      </c>
      <c r="F9" t="n">
        <v>36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Batavia</t>
        </is>
      </c>
      <c r="B10" t="n">
        <v>1.45</v>
      </c>
      <c r="C10" t="n">
        <v>1.4</v>
      </c>
      <c r="D10" t="n">
        <v>1.89</v>
      </c>
      <c r="E10" t="n">
        <v>1.99</v>
      </c>
      <c r="F10" t="n">
        <v>48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Pink lady</t>
        </is>
      </c>
      <c r="B11" t="n">
        <v>2.75</v>
      </c>
      <c r="C11" t="n">
        <v>2.75</v>
      </c>
      <c r="D11" t="n">
        <v>3.99</v>
      </c>
      <c r="E11" t="n">
        <v>3.99</v>
      </c>
      <c r="F11" t="n">
        <v>13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Poivron vert</t>
        </is>
      </c>
      <c r="B12" t="n">
        <v>2.55</v>
      </c>
      <c r="C12" t="n">
        <v>2.6</v>
      </c>
      <c r="D12" t="n">
        <v>3.99</v>
      </c>
      <c r="E12" t="n">
        <v>4.99</v>
      </c>
      <c r="F12" t="n">
        <v>5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Concombre</t>
        </is>
      </c>
      <c r="B13" t="n">
        <v>1.1</v>
      </c>
      <c r="C13" t="n">
        <v>1</v>
      </c>
      <c r="D13" t="n">
        <v>1.59</v>
      </c>
      <c r="E13" t="n">
        <v>1.49</v>
      </c>
      <c r="F13" t="n">
        <v>96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Peche blanche</t>
        </is>
      </c>
      <c r="B14" t="n">
        <v>2.9</v>
      </c>
      <c r="C14" t="n">
        <v>2.55</v>
      </c>
      <c r="D14" t="n">
        <v>4.19</v>
      </c>
      <c r="E14" t="n">
        <v>4.49</v>
      </c>
      <c r="F14" t="n">
        <v>27.58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Avocat</t>
        </is>
      </c>
      <c r="B15" t="n">
        <v>0.95</v>
      </c>
      <c r="C15" t="n">
        <v>0.65</v>
      </c>
      <c r="D15" t="n">
        <v>1.39</v>
      </c>
      <c r="E15" t="n">
        <v>1.29</v>
      </c>
      <c r="F15" t="n">
        <v>132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t="inlineStr">
        <is>
          <t>Laitue</t>
        </is>
      </c>
      <c r="B16" t="n">
        <v>1.45</v>
      </c>
      <c r="C16" t="n">
        <v>1.4</v>
      </c>
      <c r="D16" t="n">
        <v>1.89</v>
      </c>
      <c r="E16" t="n">
        <v>1.99</v>
      </c>
      <c r="F16" t="n">
        <v>6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A17" t="inlineStr">
        <is>
          <t>Raisin blanc</t>
        </is>
      </c>
      <c r="B17" t="n">
        <v>1.7</v>
      </c>
      <c r="C17" t="n">
        <v>1.39</v>
      </c>
      <c r="D17" t="n">
        <v>2.79</v>
      </c>
      <c r="E17" t="n">
        <v>2.99</v>
      </c>
      <c r="F17" t="n">
        <v>55</v>
      </c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A18" t="inlineStr">
        <is>
          <t>Courgette</t>
        </is>
      </c>
      <c r="B18" t="n">
        <v>2.05</v>
      </c>
      <c r="C18" t="n">
        <v>1.7</v>
      </c>
      <c r="D18" t="n">
        <v>2.79</v>
      </c>
      <c r="E18" t="n">
        <v>2.69</v>
      </c>
      <c r="F18" t="n">
        <v>100</v>
      </c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A19" t="inlineStr">
        <is>
          <t>Necta J</t>
        </is>
      </c>
      <c r="B19" t="n">
        <v>3</v>
      </c>
      <c r="C19" t="n">
        <v>2.55</v>
      </c>
      <c r="D19" t="n">
        <v>4.49</v>
      </c>
      <c r="E19" t="n">
        <v>4.49</v>
      </c>
      <c r="F19" t="n">
        <v>30.795</v>
      </c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A20" t="inlineStr">
        <is>
          <t>Aubergine</t>
        </is>
      </c>
      <c r="B20" t="n">
        <v>2.4</v>
      </c>
      <c r="C20" t="n">
        <v>2.39</v>
      </c>
      <c r="D20" t="n">
        <v>3.49</v>
      </c>
      <c r="E20" t="n">
        <v>3.99</v>
      </c>
      <c r="F20" t="n">
        <v>20</v>
      </c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E8" sqref="E8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Oignon rouge</t>
        </is>
      </c>
      <c r="B4" t="n">
        <v>2.49</v>
      </c>
      <c r="C4" t="n">
        <v>1.39</v>
      </c>
      <c r="D4" t="n">
        <v>3.79</v>
      </c>
      <c r="E4" t="n">
        <v>4.99</v>
      </c>
      <c r="F4" t="n">
        <v>10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Concombre</t>
        </is>
      </c>
      <c r="B5" t="n">
        <v>1.05</v>
      </c>
      <c r="C5" t="n">
        <v>0.9</v>
      </c>
      <c r="D5" t="n">
        <v>1.59</v>
      </c>
      <c r="E5" t="n">
        <v>1.49</v>
      </c>
      <c r="F5" t="n">
        <v>112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F.chêne blonde</t>
        </is>
      </c>
      <c r="B6" t="n">
        <v>1.45</v>
      </c>
      <c r="C6" t="n">
        <v>1.4</v>
      </c>
      <c r="D6" t="n">
        <v>1.89</v>
      </c>
      <c r="E6" t="n">
        <v>1.99</v>
      </c>
      <c r="F6" t="n">
        <v>24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avocat</t>
        </is>
      </c>
      <c r="B7" t="n">
        <v>0.95</v>
      </c>
      <c r="C7" t="n">
        <v>0.65</v>
      </c>
      <c r="D7" t="n">
        <v>1.39</v>
      </c>
      <c r="E7" t="n">
        <v>1.29</v>
      </c>
      <c r="F7" t="n">
        <v>132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Aubergine</t>
        </is>
      </c>
      <c r="B8" t="n">
        <v>2.4</v>
      </c>
      <c r="C8" t="n">
        <v>2.39</v>
      </c>
      <c r="D8" t="n">
        <v>3.49</v>
      </c>
      <c r="E8" t="n">
        <v>3.99</v>
      </c>
      <c r="F8" t="n">
        <v>15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F.chêne brune</t>
        </is>
      </c>
      <c r="B9" t="n">
        <v>1.45</v>
      </c>
      <c r="C9" t="n">
        <v>1.4</v>
      </c>
      <c r="D9" t="n">
        <v>1.89</v>
      </c>
      <c r="E9" t="n">
        <v>1.99</v>
      </c>
      <c r="F9" t="n">
        <v>24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Batavia</t>
        </is>
      </c>
      <c r="B10" t="n">
        <v>1.45</v>
      </c>
      <c r="C10" t="n">
        <v>1.4</v>
      </c>
      <c r="D10" t="n">
        <v>1.89</v>
      </c>
      <c r="E10" t="n">
        <v>1.99</v>
      </c>
      <c r="F10" t="n">
        <v>24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Pink lady</t>
        </is>
      </c>
      <c r="B11" t="n">
        <v>2.75</v>
      </c>
      <c r="C11" t="n">
        <v>2.75</v>
      </c>
      <c r="D11" t="n">
        <v>3.99</v>
      </c>
      <c r="E11" t="n">
        <v>3.99</v>
      </c>
      <c r="F11" t="n">
        <v>13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Laitue</t>
        </is>
      </c>
      <c r="B12" t="n">
        <v>1.45</v>
      </c>
      <c r="C12" t="n">
        <v>1.4</v>
      </c>
      <c r="D12" t="n">
        <v>1.89</v>
      </c>
      <c r="E12" t="n">
        <v>1.99</v>
      </c>
      <c r="F12" t="n">
        <v>12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Necta J</t>
        </is>
      </c>
      <c r="B13" t="n">
        <v>3</v>
      </c>
      <c r="C13" t="n">
        <v>2.55</v>
      </c>
      <c r="D13" t="n">
        <v>4.49</v>
      </c>
      <c r="E13" t="n">
        <v>4.49</v>
      </c>
      <c r="F13" t="n">
        <v>40.779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Kiwi vert</t>
        </is>
      </c>
      <c r="B14" t="n">
        <v>0.4</v>
      </c>
      <c r="C14" t="n">
        <v>0.4</v>
      </c>
      <c r="D14" t="n">
        <v>0.6899999999999999</v>
      </c>
      <c r="E14" t="n">
        <v>0.6899999999999999</v>
      </c>
      <c r="F14" t="n">
        <v>104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Courgette</t>
        </is>
      </c>
      <c r="B15" t="n">
        <v>2.05</v>
      </c>
      <c r="C15" t="n">
        <v>1.8</v>
      </c>
      <c r="D15" t="n">
        <v>2.79</v>
      </c>
      <c r="E15" t="n">
        <v>2.79</v>
      </c>
      <c r="F15" t="n">
        <v>40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t="inlineStr">
        <is>
          <t>Necta B</t>
        </is>
      </c>
      <c r="B16" t="n">
        <v>3</v>
      </c>
      <c r="C16" t="n">
        <v>2.55</v>
      </c>
      <c r="D16" t="n">
        <v>4.49</v>
      </c>
      <c r="E16" t="n">
        <v>4.49</v>
      </c>
      <c r="F16" t="n">
        <v>60.828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E21" sqref="E21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Endive vrac</t>
        </is>
      </c>
      <c r="B4" t="n">
        <v>3.4</v>
      </c>
      <c r="C4" t="n">
        <v>3.19</v>
      </c>
      <c r="D4" t="n">
        <v>5.29</v>
      </c>
      <c r="E4" t="n">
        <v>5.29</v>
      </c>
      <c r="F4" t="n">
        <v>20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Oignon rouge</t>
        </is>
      </c>
      <c r="B5" t="n">
        <v>2.49</v>
      </c>
      <c r="C5" t="n">
        <v>1.39</v>
      </c>
      <c r="D5" t="n">
        <v>3.79</v>
      </c>
      <c r="E5" t="n">
        <v>4.99</v>
      </c>
      <c r="F5" t="n">
        <v>10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Poivron rouge</t>
        </is>
      </c>
      <c r="B6" t="n">
        <v>2.95</v>
      </c>
      <c r="C6" t="n">
        <v>2.1</v>
      </c>
      <c r="D6" t="n">
        <v>4.49</v>
      </c>
      <c r="E6" t="n">
        <v>4.99</v>
      </c>
      <c r="F6" t="n">
        <v>15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Tomate grappe</t>
        </is>
      </c>
      <c r="B7" t="n">
        <v>3.55</v>
      </c>
      <c r="C7" t="n">
        <v>2.9</v>
      </c>
      <c r="D7" t="n">
        <v>4.99</v>
      </c>
      <c r="E7" t="n">
        <v>4.49</v>
      </c>
      <c r="F7" t="n">
        <v>150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Peche plate</t>
        </is>
      </c>
      <c r="B8" t="n">
        <v>2.75</v>
      </c>
      <c r="C8" t="n">
        <v>1.69</v>
      </c>
      <c r="D8" t="n">
        <v>3.99</v>
      </c>
      <c r="E8" t="n">
        <v>2.99</v>
      </c>
      <c r="F8" t="n">
        <v>20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Aubergine</t>
        </is>
      </c>
      <c r="B9" t="n">
        <v>2.8</v>
      </c>
      <c r="C9" t="n">
        <v>2.39</v>
      </c>
      <c r="D9" t="n">
        <v>3.99</v>
      </c>
      <c r="E9" t="n">
        <v>3.99</v>
      </c>
      <c r="F9" t="n">
        <v>10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F.chêne brune</t>
        </is>
      </c>
      <c r="B10" t="n">
        <v>1.45</v>
      </c>
      <c r="C10" t="n">
        <v>1.4</v>
      </c>
      <c r="D10" t="n">
        <v>1.89</v>
      </c>
      <c r="E10" t="n">
        <v>1.99</v>
      </c>
      <c r="F10" t="n">
        <v>18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F.chêne blonde</t>
        </is>
      </c>
      <c r="B11" t="n">
        <v>1.45</v>
      </c>
      <c r="C11" t="n">
        <v>1.4</v>
      </c>
      <c r="D11" t="n">
        <v>1.89</v>
      </c>
      <c r="E11" t="n">
        <v>1.99</v>
      </c>
      <c r="F11" t="n">
        <v>24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Batavia</t>
        </is>
      </c>
      <c r="B12" t="n">
        <v>1.45</v>
      </c>
      <c r="C12" t="n">
        <v>1.4</v>
      </c>
      <c r="D12" t="n">
        <v>1.89</v>
      </c>
      <c r="E12" t="n">
        <v>1.99</v>
      </c>
      <c r="F12" t="n">
        <v>36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Peche jaune</t>
        </is>
      </c>
      <c r="B13" t="n">
        <v>2.9</v>
      </c>
      <c r="C13" t="n">
        <v>2.59</v>
      </c>
      <c r="D13" t="n">
        <v>4.19</v>
      </c>
      <c r="E13" t="n">
        <v>4.49</v>
      </c>
      <c r="F13" t="n">
        <v>39.42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Poivron vert</t>
        </is>
      </c>
      <c r="B14" t="n">
        <v>2.95</v>
      </c>
      <c r="C14" t="n">
        <v>2.6</v>
      </c>
      <c r="D14" t="n">
        <v>4.49</v>
      </c>
      <c r="E14" t="n">
        <v>4.99</v>
      </c>
      <c r="F14" t="n">
        <v>10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Concombre</t>
        </is>
      </c>
      <c r="B15" t="n">
        <v>1.1</v>
      </c>
      <c r="C15" t="n">
        <v>0.9</v>
      </c>
      <c r="D15" t="n">
        <v>1.59</v>
      </c>
      <c r="E15" t="n">
        <v>1.49</v>
      </c>
      <c r="F15" t="n">
        <v>144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t="inlineStr">
        <is>
          <t>Peche blanche</t>
        </is>
      </c>
      <c r="B16" t="n">
        <v>2.9</v>
      </c>
      <c r="C16" t="n">
        <v>2.59</v>
      </c>
      <c r="D16" t="n">
        <v>4.19</v>
      </c>
      <c r="E16" t="n">
        <v>4.49</v>
      </c>
      <c r="F16" t="n">
        <v>34.275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A17" t="inlineStr">
        <is>
          <t>Laitue</t>
        </is>
      </c>
      <c r="B17" t="n">
        <v>1.45</v>
      </c>
      <c r="C17" t="n">
        <v>1.4</v>
      </c>
      <c r="D17" t="n">
        <v>1.89</v>
      </c>
      <c r="E17" t="n">
        <v>1.99</v>
      </c>
      <c r="F17" t="n">
        <v>12</v>
      </c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A18" t="inlineStr">
        <is>
          <t>Poivron jaune</t>
        </is>
      </c>
      <c r="B18" t="n">
        <v>4.59</v>
      </c>
      <c r="C18" t="n">
        <v>2.99</v>
      </c>
      <c r="D18" t="n">
        <v>6.49</v>
      </c>
      <c r="E18" t="n">
        <v>4.99</v>
      </c>
      <c r="F18" t="n">
        <v>5</v>
      </c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A19" t="inlineStr">
        <is>
          <t>Kiwi vert</t>
        </is>
      </c>
      <c r="B19" t="n">
        <v>0.4</v>
      </c>
      <c r="C19" t="n">
        <v>0.4</v>
      </c>
      <c r="D19" t="n">
        <v>0.6899999999999999</v>
      </c>
      <c r="E19" t="n">
        <v>0.6899999999999999</v>
      </c>
      <c r="F19" t="n">
        <v>104</v>
      </c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A20" t="inlineStr">
        <is>
          <t>Raisin exo 300g</t>
        </is>
      </c>
      <c r="B20" t="n">
        <v>1.99</v>
      </c>
      <c r="C20" t="n">
        <v>1.99</v>
      </c>
      <c r="D20" t="n">
        <v>2.99</v>
      </c>
      <c r="E20" t="n">
        <v>2.99</v>
      </c>
      <c r="F20" t="n">
        <v>10</v>
      </c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E10" sqref="E10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Poireau</t>
        </is>
      </c>
      <c r="B4" t="n">
        <v>2.8</v>
      </c>
      <c r="C4" t="n">
        <v>2.1</v>
      </c>
      <c r="D4" t="n">
        <v>3.99</v>
      </c>
      <c r="E4" t="n">
        <v>3.29</v>
      </c>
      <c r="F4" t="n">
        <v>10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Poivron rouge</t>
        </is>
      </c>
      <c r="B5" t="n">
        <v>2.95</v>
      </c>
      <c r="C5" t="n">
        <v>2.1</v>
      </c>
      <c r="D5" t="n">
        <v>4.49</v>
      </c>
      <c r="E5" t="n">
        <v>4.99</v>
      </c>
      <c r="F5" t="n">
        <v>10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Batavia</t>
        </is>
      </c>
      <c r="B6" t="n">
        <v>1.45</v>
      </c>
      <c r="C6" t="n">
        <v>1.4</v>
      </c>
      <c r="D6" t="n">
        <v>1.89</v>
      </c>
      <c r="E6" t="n">
        <v>1.99</v>
      </c>
      <c r="F6" t="n">
        <v>60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Laitue</t>
        </is>
      </c>
      <c r="B7" t="n">
        <v>1.45</v>
      </c>
      <c r="C7" t="n">
        <v>1.4</v>
      </c>
      <c r="D7" t="n">
        <v>1.89</v>
      </c>
      <c r="E7" t="n">
        <v>1.99</v>
      </c>
      <c r="F7" t="n">
        <v>12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Avocat</t>
        </is>
      </c>
      <c r="B8" t="n">
        <v>0.95</v>
      </c>
      <c r="C8" t="n">
        <v>0.65</v>
      </c>
      <c r="D8" t="n">
        <v>1.39</v>
      </c>
      <c r="E8" t="n">
        <v>1.29</v>
      </c>
      <c r="F8" t="n">
        <v>110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Peche plate</t>
        </is>
      </c>
      <c r="B9" t="n">
        <v>2.75</v>
      </c>
      <c r="C9" t="n">
        <v>1.69</v>
      </c>
      <c r="D9" t="n">
        <v>3.99</v>
      </c>
      <c r="E9" t="n">
        <v>2.99</v>
      </c>
      <c r="F9" t="n">
        <v>30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Aubergine</t>
        </is>
      </c>
      <c r="B10" t="n">
        <v>1.8</v>
      </c>
      <c r="C10" t="n">
        <v>2.45</v>
      </c>
      <c r="D10" t="n">
        <v>3.99</v>
      </c>
      <c r="E10" t="n">
        <v>3.99</v>
      </c>
      <c r="F10" t="n">
        <v>25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F.chêne blonde</t>
        </is>
      </c>
      <c r="B11" t="n">
        <v>1.45</v>
      </c>
      <c r="C11" t="n">
        <v>1.4</v>
      </c>
      <c r="D11" t="n">
        <v>1.89</v>
      </c>
      <c r="E11" t="n">
        <v>1.99</v>
      </c>
      <c r="F11" t="n">
        <v>36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F.chêne brune</t>
        </is>
      </c>
      <c r="B12" t="n">
        <v>1.45</v>
      </c>
      <c r="C12" t="n">
        <v>1.4</v>
      </c>
      <c r="D12" t="n">
        <v>1.89</v>
      </c>
      <c r="E12" t="n">
        <v>1.99</v>
      </c>
      <c r="F12" t="n">
        <v>24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Peche jaune</t>
        </is>
      </c>
      <c r="B13" t="n">
        <v>2.9</v>
      </c>
      <c r="C13" t="n">
        <v>2.59</v>
      </c>
      <c r="D13" t="n">
        <v>4.19</v>
      </c>
      <c r="E13" t="n">
        <v>4.49</v>
      </c>
      <c r="F13" t="n">
        <v>17.52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Pink lady</t>
        </is>
      </c>
      <c r="B14" t="n">
        <v>2.75</v>
      </c>
      <c r="C14" t="n">
        <v>2.75</v>
      </c>
      <c r="D14" t="n">
        <v>3.99</v>
      </c>
      <c r="E14" t="n">
        <v>3.99</v>
      </c>
      <c r="F14" t="n">
        <v>13.926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Concombre</t>
        </is>
      </c>
      <c r="B15" t="n">
        <v>1.1</v>
      </c>
      <c r="C15" t="n">
        <v>0.95</v>
      </c>
      <c r="D15" t="n">
        <v>1.59</v>
      </c>
      <c r="E15" t="n">
        <v>1.49</v>
      </c>
      <c r="F15" t="n">
        <v>144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t="inlineStr">
        <is>
          <t>Peche B</t>
        </is>
      </c>
      <c r="B16" t="n">
        <v>2.9</v>
      </c>
      <c r="C16" t="n">
        <v>2.59</v>
      </c>
      <c r="D16" t="n">
        <v>4.19</v>
      </c>
      <c r="E16" t="n">
        <v>4.49</v>
      </c>
      <c r="F16" t="n">
        <v>41.13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A17" t="inlineStr">
        <is>
          <t>Poivron jaune</t>
        </is>
      </c>
      <c r="B17" t="n">
        <v>4.59</v>
      </c>
      <c r="C17" t="n">
        <v>2.99</v>
      </c>
      <c r="D17" t="n">
        <v>6.49</v>
      </c>
      <c r="E17" t="n">
        <v>4.99</v>
      </c>
      <c r="F17" t="n">
        <v>5</v>
      </c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A18" t="inlineStr">
        <is>
          <t>Raisin blanc</t>
        </is>
      </c>
      <c r="B18" t="n">
        <v>1.7</v>
      </c>
      <c r="C18" t="n">
        <v>1.39</v>
      </c>
      <c r="D18" t="n">
        <v>2.79</v>
      </c>
      <c r="E18" t="n">
        <v>2.99</v>
      </c>
      <c r="F18" t="n">
        <v>22</v>
      </c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A19" t="inlineStr">
        <is>
          <t>Kiwi vert</t>
        </is>
      </c>
      <c r="B19" t="n">
        <v>0.4</v>
      </c>
      <c r="C19" t="n">
        <v>0.38</v>
      </c>
      <c r="D19" t="n">
        <v>0.6899999999999999</v>
      </c>
      <c r="E19" t="n">
        <v>0.6899999999999999</v>
      </c>
      <c r="F19" t="n">
        <v>208</v>
      </c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E20" sqref="E20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s="5" t="inlineStr">
        <is>
          <t>Poireau</t>
        </is>
      </c>
      <c r="B4" t="n">
        <v>2.8</v>
      </c>
      <c r="C4" t="n">
        <v>2.1</v>
      </c>
      <c r="D4" t="n">
        <v>3.99</v>
      </c>
      <c r="E4" t="n">
        <v>3.99</v>
      </c>
      <c r="F4" t="n">
        <v>10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s="5" t="inlineStr">
        <is>
          <t>Poivron rouge</t>
        </is>
      </c>
      <c r="B5" t="n">
        <v>2.95</v>
      </c>
      <c r="C5" t="n">
        <v>2.1</v>
      </c>
      <c r="D5" t="n">
        <v>4.49</v>
      </c>
      <c r="E5" t="n">
        <v>4.99</v>
      </c>
      <c r="F5" t="n">
        <v>10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s="5" t="inlineStr">
        <is>
          <t>Tomate grappe</t>
        </is>
      </c>
      <c r="B6" t="n">
        <v>5.2</v>
      </c>
      <c r="C6" t="n">
        <v>3.99</v>
      </c>
      <c r="D6" t="n">
        <v>6.99</v>
      </c>
      <c r="E6" t="n">
        <v>5.99</v>
      </c>
      <c r="F6" t="n">
        <v>100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s="5" t="inlineStr">
        <is>
          <t>Radis rose</t>
        </is>
      </c>
      <c r="B7" t="n">
        <v>1</v>
      </c>
      <c r="C7" t="n">
        <v>0.9</v>
      </c>
      <c r="D7" t="n">
        <v>1.49</v>
      </c>
      <c r="E7" t="n">
        <v>1.49</v>
      </c>
      <c r="F7" t="n">
        <v>36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s="5" t="inlineStr">
        <is>
          <t>Batavia</t>
        </is>
      </c>
      <c r="B8" t="n">
        <v>1.45</v>
      </c>
      <c r="C8" t="n">
        <v>1.4</v>
      </c>
      <c r="D8" t="n">
        <v>1.99</v>
      </c>
      <c r="E8" t="n">
        <v>1.99</v>
      </c>
      <c r="F8" t="n">
        <v>36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s="5" t="inlineStr">
        <is>
          <t>F.chene rouge</t>
        </is>
      </c>
      <c r="B9" t="n">
        <v>1.45</v>
      </c>
      <c r="C9" t="n">
        <v>1.4</v>
      </c>
      <c r="D9" t="n">
        <v>1.89</v>
      </c>
      <c r="E9" t="n">
        <v>1.99</v>
      </c>
      <c r="F9" t="n">
        <v>24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s="5" t="inlineStr">
        <is>
          <t>Laitue blonde</t>
        </is>
      </c>
      <c r="B10" t="n">
        <v>1.45</v>
      </c>
      <c r="C10" t="n">
        <v>1.4</v>
      </c>
      <c r="D10" t="n">
        <v>1.89</v>
      </c>
      <c r="E10" t="n">
        <v>1.99</v>
      </c>
      <c r="F10" t="n">
        <v>24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s="5" t="inlineStr">
        <is>
          <t>Peche plate</t>
        </is>
      </c>
      <c r="B11" t="n">
        <v>2.75</v>
      </c>
      <c r="C11" t="n">
        <v>1.69</v>
      </c>
      <c r="D11" t="n">
        <v>3.99</v>
      </c>
      <c r="E11" t="n">
        <v>2.99</v>
      </c>
      <c r="F11" t="n">
        <v>25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s="5" t="inlineStr">
        <is>
          <t>Aubergine</t>
        </is>
      </c>
      <c r="B12" t="n">
        <v>2.8</v>
      </c>
      <c r="C12" t="n">
        <v>2.45</v>
      </c>
      <c r="D12" t="n">
        <v>3.99</v>
      </c>
      <c r="E12" t="n">
        <v>3.99</v>
      </c>
      <c r="F12" t="n">
        <v>20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s="5" t="inlineStr">
        <is>
          <t>F.chene blonde</t>
        </is>
      </c>
      <c r="B13" t="n">
        <v>1.45</v>
      </c>
      <c r="C13" t="n">
        <v>1.4</v>
      </c>
      <c r="D13" t="n">
        <v>1.89</v>
      </c>
      <c r="E13" t="n">
        <v>1.99</v>
      </c>
      <c r="F13" t="n">
        <v>36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s="5" t="inlineStr">
        <is>
          <t>Peche jaune</t>
        </is>
      </c>
      <c r="B14" t="n">
        <v>2.9</v>
      </c>
      <c r="C14" t="n">
        <v>2.59</v>
      </c>
      <c r="D14" t="n">
        <v>4.19</v>
      </c>
      <c r="E14" t="n">
        <v>4.49</v>
      </c>
      <c r="F14" t="n">
        <v>27.036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s="5" t="inlineStr">
        <is>
          <t>Poivron vert</t>
        </is>
      </c>
      <c r="B15" t="n">
        <v>2.95</v>
      </c>
      <c r="C15" t="n">
        <v>2.6</v>
      </c>
      <c r="D15" t="n">
        <v>4.49</v>
      </c>
      <c r="E15" t="n">
        <v>4.99</v>
      </c>
      <c r="F15" t="n">
        <v>5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s="5" t="inlineStr">
        <is>
          <t>Concombre</t>
        </is>
      </c>
      <c r="B16" t="n">
        <v>0.99</v>
      </c>
      <c r="C16" t="n">
        <v>0.95</v>
      </c>
      <c r="D16" t="n">
        <v>1.59</v>
      </c>
      <c r="E16" t="n">
        <v>1.49</v>
      </c>
      <c r="F16" t="n">
        <v>180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A17" s="5" t="inlineStr">
        <is>
          <t>Peche blanche</t>
        </is>
      </c>
      <c r="B17" t="n">
        <v>2.9</v>
      </c>
      <c r="C17" t="n">
        <v>2.59</v>
      </c>
      <c r="D17" t="n">
        <v>4.19</v>
      </c>
      <c r="E17" t="n">
        <v>4.49</v>
      </c>
      <c r="F17" t="n">
        <v>41.13</v>
      </c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A18" s="5" t="inlineStr">
        <is>
          <t>Avocat</t>
        </is>
      </c>
      <c r="B18" t="n">
        <v>0.9</v>
      </c>
      <c r="C18" t="n">
        <v>0.65</v>
      </c>
      <c r="D18" t="n">
        <v>1.39</v>
      </c>
      <c r="E18" t="n">
        <v>1.29</v>
      </c>
      <c r="F18" t="n">
        <v>176</v>
      </c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A19" s="5" t="inlineStr">
        <is>
          <t>Kiwi</t>
        </is>
      </c>
      <c r="B19" t="n">
        <v>0.4</v>
      </c>
      <c r="C19" t="n">
        <v>0.38</v>
      </c>
      <c r="D19" t="n">
        <v>0.6899999999999999</v>
      </c>
      <c r="E19" t="n">
        <v>0.6899999999999999</v>
      </c>
      <c r="F19" t="n">
        <v>208</v>
      </c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A20" s="5" t="inlineStr">
        <is>
          <t>Courgette</t>
        </is>
      </c>
      <c r="B20" t="n">
        <v>2.55</v>
      </c>
      <c r="C20" t="n">
        <v>2.4</v>
      </c>
      <c r="D20" t="n">
        <v>3.69</v>
      </c>
      <c r="E20" t="n">
        <v>3.99</v>
      </c>
      <c r="F20" t="n">
        <v>70</v>
      </c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A21" s="5" t="n"/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B5" sqref="B5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poireau</t>
        </is>
      </c>
      <c r="B4" t="n">
        <v>2.8</v>
      </c>
      <c r="C4" t="n">
        <v>2.1</v>
      </c>
      <c r="D4" t="n">
        <v>3.99</v>
      </c>
      <c r="E4" t="n">
        <v>3.49</v>
      </c>
      <c r="F4" t="n">
        <v>10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echalotte</t>
        </is>
      </c>
      <c r="B5" t="n">
        <v>2.59</v>
      </c>
      <c r="C5" t="n">
        <v>1.6</v>
      </c>
      <c r="D5" t="n">
        <v>3.99</v>
      </c>
      <c r="E5" t="n">
        <v>4.99</v>
      </c>
      <c r="F5" t="n">
        <v>5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oignon rouge</t>
        </is>
      </c>
      <c r="B6" t="n">
        <v>2.48</v>
      </c>
      <c r="C6" t="n">
        <v>1.29</v>
      </c>
      <c r="D6" t="n">
        <v>3.79</v>
      </c>
      <c r="E6" t="n">
        <v>4.99</v>
      </c>
      <c r="F6" t="n">
        <v>5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concombre</t>
        </is>
      </c>
      <c r="B7" t="n">
        <v>0.99</v>
      </c>
      <c r="C7" t="n">
        <v>0.99</v>
      </c>
      <c r="D7" t="n">
        <v>1.59</v>
      </c>
      <c r="E7" t="n">
        <v>1.49</v>
      </c>
      <c r="F7" t="n">
        <v>180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poivron rouge</t>
        </is>
      </c>
      <c r="B8" t="n">
        <v>2.95</v>
      </c>
      <c r="C8" t="n">
        <v>2.4</v>
      </c>
      <c r="D8" t="n">
        <v>4.49</v>
      </c>
      <c r="E8" t="n">
        <v>4.99</v>
      </c>
      <c r="F8" t="n">
        <v>10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feuille de chene rouge</t>
        </is>
      </c>
      <c r="B9" t="n">
        <v>1.45</v>
      </c>
      <c r="C9" t="n">
        <v>1.4</v>
      </c>
      <c r="D9" t="n">
        <v>1.89</v>
      </c>
      <c r="E9" t="n">
        <v>1.99</v>
      </c>
      <c r="F9" t="n">
        <v>60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avocat</t>
        </is>
      </c>
      <c r="B10" t="n">
        <v>1.35</v>
      </c>
      <c r="C10" t="n">
        <v>0.8</v>
      </c>
      <c r="D10" t="n">
        <v>1.89</v>
      </c>
      <c r="E10" t="n">
        <v>1.29</v>
      </c>
      <c r="F10" t="n">
        <v>120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peche plate</t>
        </is>
      </c>
      <c r="B11" t="n">
        <v>1.99</v>
      </c>
      <c r="C11" t="n">
        <v>1.69</v>
      </c>
      <c r="D11" t="n">
        <v>3.49</v>
      </c>
      <c r="E11" t="n">
        <v>2.99</v>
      </c>
      <c r="F11" t="n">
        <v>25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aubergine</t>
        </is>
      </c>
      <c r="B12" t="n">
        <v>2.4</v>
      </c>
      <c r="C12" t="n">
        <v>2.45</v>
      </c>
      <c r="D12" t="n">
        <v>3.49</v>
      </c>
      <c r="E12" t="n">
        <v>3.99</v>
      </c>
      <c r="F12" t="n">
        <v>15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Feuille de chene bde</t>
        </is>
      </c>
      <c r="B13" t="n">
        <v>1.45</v>
      </c>
      <c r="C13" t="n">
        <v>1.4</v>
      </c>
      <c r="D13" t="n">
        <v>1.89</v>
      </c>
      <c r="E13" t="n">
        <v>1.99</v>
      </c>
      <c r="F13" t="n">
        <v>48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poivron vert</t>
        </is>
      </c>
      <c r="B14" t="n">
        <v>2.95</v>
      </c>
      <c r="C14" t="n">
        <v>2.6</v>
      </c>
      <c r="D14" t="n">
        <v>4.49</v>
      </c>
      <c r="E14" t="n">
        <v>4.49</v>
      </c>
      <c r="F14" t="n">
        <v>5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batavia</t>
        </is>
      </c>
      <c r="B15" t="n">
        <v>1.45</v>
      </c>
      <c r="C15" t="n">
        <v>1.4</v>
      </c>
      <c r="D15" t="n">
        <v>1.99</v>
      </c>
      <c r="E15" t="n">
        <v>1.99</v>
      </c>
      <c r="F15" t="n">
        <v>36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t="inlineStr">
        <is>
          <t>kiwi</t>
        </is>
      </c>
      <c r="B16" t="n">
        <v>0.68</v>
      </c>
      <c r="C16" t="n">
        <v>0.38</v>
      </c>
      <c r="D16" t="n">
        <v>0.99</v>
      </c>
      <c r="E16" t="n">
        <v>0.6899999999999999</v>
      </c>
      <c r="F16" t="n">
        <v>312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A17" t="inlineStr">
        <is>
          <t>courgette</t>
        </is>
      </c>
      <c r="B17" t="n">
        <v>2.7</v>
      </c>
      <c r="C17" t="n">
        <v>2.4</v>
      </c>
      <c r="D17" t="n">
        <v>3.69</v>
      </c>
      <c r="E17" t="n">
        <v>3.99</v>
      </c>
      <c r="F17" t="n">
        <v>20</v>
      </c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D16" sqref="D16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ECHALOTTE</t>
        </is>
      </c>
      <c r="B4" t="n">
        <v>2.59</v>
      </c>
      <c r="C4" t="n">
        <v>1.6</v>
      </c>
      <c r="D4" t="n">
        <v>3.99</v>
      </c>
      <c r="E4" t="n">
        <v>4.99</v>
      </c>
      <c r="F4" t="n">
        <v>5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OIGNON RGE</t>
        </is>
      </c>
      <c r="B5" t="n">
        <v>2.48</v>
      </c>
      <c r="C5" t="n">
        <v>1.39</v>
      </c>
      <c r="D5" t="n">
        <v>3.79</v>
      </c>
      <c r="E5" t="n">
        <v>4.99</v>
      </c>
      <c r="F5" t="n">
        <v>5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POIVRON RGE</t>
        </is>
      </c>
      <c r="B6" t="n">
        <v>2.95</v>
      </c>
      <c r="C6" t="n">
        <v>2.7</v>
      </c>
      <c r="D6" t="n">
        <v>4.49</v>
      </c>
      <c r="E6" t="n">
        <v>4.99</v>
      </c>
      <c r="F6" t="n">
        <v>20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POIVRON JNE</t>
        </is>
      </c>
      <c r="B7" t="n">
        <v>4.49</v>
      </c>
      <c r="C7" t="n">
        <v>3.19</v>
      </c>
      <c r="D7" t="n">
        <v>6.49</v>
      </c>
      <c r="E7" t="n">
        <v>4.99</v>
      </c>
      <c r="F7" t="n">
        <v>10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PERSIL PLAT BOTTE</t>
        </is>
      </c>
      <c r="B8" t="n">
        <v>0.7</v>
      </c>
      <c r="C8" t="n">
        <v>0.8</v>
      </c>
      <c r="D8" t="n">
        <v>0.99</v>
      </c>
      <c r="E8" t="n">
        <v>0.99</v>
      </c>
      <c r="F8" t="n">
        <v>40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Feuille de chene Bde</t>
        </is>
      </c>
      <c r="B9" t="n">
        <v>1.45</v>
      </c>
      <c r="C9" t="n">
        <v>1.4</v>
      </c>
      <c r="D9" t="n">
        <v>1.89</v>
      </c>
      <c r="E9" t="n">
        <v>1.99</v>
      </c>
      <c r="F9" t="n">
        <v>72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Avocat</t>
        </is>
      </c>
      <c r="B10" t="n">
        <v>0.96</v>
      </c>
      <c r="C10" t="n">
        <v>0.55</v>
      </c>
      <c r="D10" t="n">
        <v>1.39</v>
      </c>
      <c r="E10" t="n">
        <v>0.99</v>
      </c>
      <c r="F10" t="n">
        <v>200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peche plate</t>
        </is>
      </c>
      <c r="B11" t="n">
        <v>1.99</v>
      </c>
      <c r="C11" t="n">
        <v>1.89</v>
      </c>
      <c r="D11" t="n">
        <v>3.49</v>
      </c>
      <c r="E11" t="n">
        <v>2.99</v>
      </c>
      <c r="F11" t="n">
        <v>20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aubergine</t>
        </is>
      </c>
      <c r="B12" t="n">
        <v>2.4</v>
      </c>
      <c r="C12" t="n">
        <v>2.65</v>
      </c>
      <c r="D12" t="n">
        <v>3.49</v>
      </c>
      <c r="E12" t="n">
        <v>3.99</v>
      </c>
      <c r="F12" t="n">
        <v>10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feuille de chene Rge</t>
        </is>
      </c>
      <c r="B13" t="n">
        <v>1.45</v>
      </c>
      <c r="C13" t="n">
        <v>1.4</v>
      </c>
      <c r="D13" t="n">
        <v>1.89</v>
      </c>
      <c r="E13" t="n">
        <v>1.99</v>
      </c>
      <c r="F13" t="n">
        <v>60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Peche jne</t>
        </is>
      </c>
      <c r="B14" t="n">
        <v>2.49</v>
      </c>
      <c r="C14" t="n">
        <v>2.49</v>
      </c>
      <c r="D14" t="n">
        <v>4.19</v>
      </c>
      <c r="E14" t="n">
        <v>4.19</v>
      </c>
      <c r="F14" t="n">
        <v>18.024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pink lady</t>
        </is>
      </c>
      <c r="B15" t="n">
        <v>2.75</v>
      </c>
      <c r="C15" t="n">
        <v>2.75</v>
      </c>
      <c r="D15" t="n">
        <v>3.99</v>
      </c>
      <c r="E15" t="n">
        <v>3.99</v>
      </c>
      <c r="F15" t="n">
        <v>20.175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t="inlineStr">
        <is>
          <t>poivron vert</t>
        </is>
      </c>
      <c r="B16" t="n">
        <v>2.95</v>
      </c>
      <c r="C16" t="n">
        <v>2.6</v>
      </c>
      <c r="D16" t="n">
        <v>4.49</v>
      </c>
      <c r="E16" t="n">
        <v>4.99</v>
      </c>
      <c r="F16" t="n">
        <v>5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A17" t="inlineStr">
        <is>
          <t>peche Bl</t>
        </is>
      </c>
      <c r="B17" t="n">
        <v>2.49</v>
      </c>
      <c r="C17" t="n">
        <v>2.49</v>
      </c>
      <c r="D17" t="n">
        <v>4.19</v>
      </c>
      <c r="E17" t="n">
        <v>4.19</v>
      </c>
      <c r="F17" t="n">
        <v>26.6</v>
      </c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A18" t="inlineStr">
        <is>
          <t>Batavia</t>
        </is>
      </c>
      <c r="B18" t="n">
        <v>1.45</v>
      </c>
      <c r="C18" t="n">
        <v>1.4</v>
      </c>
      <c r="D18" t="n">
        <v>1.99</v>
      </c>
      <c r="E18" t="n">
        <v>1.99</v>
      </c>
      <c r="F18" t="n">
        <v>72</v>
      </c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A19" t="inlineStr">
        <is>
          <t>Laitue</t>
        </is>
      </c>
      <c r="B19" t="n">
        <v>1.45</v>
      </c>
      <c r="C19" t="n">
        <v>1.4</v>
      </c>
      <c r="D19" t="n">
        <v>1.89</v>
      </c>
      <c r="E19" t="n">
        <v>1.99</v>
      </c>
      <c r="F19" t="n">
        <v>36</v>
      </c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A20" t="inlineStr">
        <is>
          <t>Concombre</t>
        </is>
      </c>
      <c r="B20" t="n">
        <v>1.05</v>
      </c>
      <c r="C20" t="n">
        <v>0.95</v>
      </c>
      <c r="D20" t="n">
        <v>1.59</v>
      </c>
      <c r="E20" t="n">
        <v>1.49</v>
      </c>
      <c r="F20" t="n">
        <v>72</v>
      </c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D13" sqref="D13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poireau</t>
        </is>
      </c>
      <c r="B4" t="n">
        <v>2.85</v>
      </c>
      <c r="C4" t="n">
        <v>2.59</v>
      </c>
      <c r="D4" t="n">
        <v>3.99</v>
      </c>
      <c r="E4" t="n">
        <v>3.49</v>
      </c>
      <c r="F4" t="n">
        <v>10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poivron rouge</t>
        </is>
      </c>
      <c r="B5" t="n">
        <v>3.7</v>
      </c>
      <c r="C5" t="n">
        <v>2.7</v>
      </c>
      <c r="D5" t="n">
        <v>5.49</v>
      </c>
      <c r="E5" t="n">
        <v>4.99</v>
      </c>
      <c r="F5" t="n">
        <v>15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Povron jaune</t>
        </is>
      </c>
      <c r="B6" t="n">
        <v>4.49</v>
      </c>
      <c r="C6" t="n">
        <v>3.19</v>
      </c>
      <c r="D6" t="n">
        <v>6.49</v>
      </c>
      <c r="E6" t="n">
        <v>4.99</v>
      </c>
      <c r="F6" t="n">
        <v>5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feuille de chene bde</t>
        </is>
      </c>
      <c r="B7" t="n">
        <v>1.45</v>
      </c>
      <c r="C7" t="n">
        <v>1.4</v>
      </c>
      <c r="D7" t="n">
        <v>1.89</v>
      </c>
      <c r="E7" t="n">
        <v>1.99</v>
      </c>
      <c r="F7" t="n">
        <v>36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avocat</t>
        </is>
      </c>
      <c r="B8" t="n">
        <v>0.96</v>
      </c>
      <c r="C8" t="n">
        <v>0.65</v>
      </c>
      <c r="D8" t="n">
        <v>1.39</v>
      </c>
      <c r="E8" t="n">
        <v>0.99</v>
      </c>
      <c r="F8" t="n">
        <v>132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aubergine</t>
        </is>
      </c>
      <c r="B9" t="n">
        <v>2.95</v>
      </c>
      <c r="C9" t="n">
        <v>2.65</v>
      </c>
      <c r="D9" t="n">
        <v>3.99</v>
      </c>
      <c r="E9" t="n">
        <v>3.99</v>
      </c>
      <c r="F9" t="n">
        <v>15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feuille de chene Rge</t>
        </is>
      </c>
      <c r="B10" t="n">
        <v>1.45</v>
      </c>
      <c r="C10" t="n">
        <v>1.4</v>
      </c>
      <c r="D10" t="n">
        <v>1.89</v>
      </c>
      <c r="E10" t="n">
        <v>1.99</v>
      </c>
      <c r="F10" t="n">
        <v>24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Batavia</t>
        </is>
      </c>
      <c r="B11" t="n">
        <v>1.45</v>
      </c>
      <c r="C11" t="n">
        <v>1.4</v>
      </c>
      <c r="D11" t="n">
        <v>1.99</v>
      </c>
      <c r="E11" t="n">
        <v>1.99</v>
      </c>
      <c r="F11" t="n">
        <v>38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Pinklady</t>
        </is>
      </c>
      <c r="B12" t="n">
        <v>2.75</v>
      </c>
      <c r="C12" t="n">
        <v>2.75</v>
      </c>
      <c r="D12" t="n">
        <v>3.99</v>
      </c>
      <c r="E12" t="n">
        <v>3.99</v>
      </c>
      <c r="F12" t="n">
        <v>13.45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Poivron vert</t>
        </is>
      </c>
      <c r="B13" t="n">
        <v>2.95</v>
      </c>
      <c r="C13" t="n">
        <v>2.6</v>
      </c>
      <c r="D13" t="n">
        <v>4.49</v>
      </c>
      <c r="E13" t="n">
        <v>4.99</v>
      </c>
      <c r="F13" t="n">
        <v>5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Laitue</t>
        </is>
      </c>
      <c r="B14" t="n">
        <v>0.85</v>
      </c>
      <c r="C14" t="n">
        <v>1.4</v>
      </c>
      <c r="D14" t="n">
        <v>0.99</v>
      </c>
      <c r="E14" t="n">
        <v>1.99</v>
      </c>
      <c r="F14" t="n">
        <v>12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Kiwi V</t>
        </is>
      </c>
      <c r="B15" t="n">
        <v>0.33</v>
      </c>
      <c r="C15" t="n">
        <v>0.45</v>
      </c>
      <c r="D15" t="n">
        <v>0.49</v>
      </c>
      <c r="E15" t="n">
        <v>0.6899999999999999</v>
      </c>
      <c r="F15" t="n">
        <v>208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t="inlineStr">
        <is>
          <t>Kiwi Jne</t>
        </is>
      </c>
      <c r="B16" t="n">
        <v>0.8</v>
      </c>
      <c r="C16" t="n">
        <v>0.6</v>
      </c>
      <c r="D16" t="n">
        <v>1.19</v>
      </c>
      <c r="E16" t="n">
        <v>0.99</v>
      </c>
      <c r="F16" t="n">
        <v>118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D16" sqref="D16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oignon rouge</t>
        </is>
      </c>
      <c r="B4" t="n">
        <v>2.49</v>
      </c>
      <c r="C4" t="n">
        <v>1.39</v>
      </c>
      <c r="D4" t="n">
        <v>3.79</v>
      </c>
      <c r="E4" t="n">
        <v>4.99</v>
      </c>
      <c r="F4" t="n">
        <v>5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Poivron rouge</t>
        </is>
      </c>
      <c r="B5" t="n">
        <v>3.7</v>
      </c>
      <c r="C5" t="n">
        <v>2.7</v>
      </c>
      <c r="D5" t="n">
        <v>5.49</v>
      </c>
      <c r="E5" t="n">
        <v>4.99</v>
      </c>
      <c r="F5" t="n">
        <v>5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cotelée rouge</t>
        </is>
      </c>
      <c r="B6" t="n">
        <v>4.4</v>
      </c>
      <c r="C6" t="n">
        <v>4.5</v>
      </c>
      <c r="D6" t="n">
        <v>6.99</v>
      </c>
      <c r="E6" t="n">
        <v>6.99</v>
      </c>
      <c r="F6" t="n">
        <v>28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Sucrine</t>
        </is>
      </c>
      <c r="B7" t="n">
        <v>1.8</v>
      </c>
      <c r="C7" t="n">
        <v>1.8</v>
      </c>
      <c r="D7" t="n">
        <v>1.99</v>
      </c>
      <c r="E7" t="n">
        <v>1.99</v>
      </c>
      <c r="F7" t="n">
        <v>72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feuille de chene Bde</t>
        </is>
      </c>
      <c r="B8" t="n">
        <v>1.29</v>
      </c>
      <c r="C8" t="n">
        <v>1.4</v>
      </c>
      <c r="D8" t="n">
        <v>1.89</v>
      </c>
      <c r="E8" t="n">
        <v>1.99</v>
      </c>
      <c r="F8" t="n">
        <v>24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Pinklady</t>
        </is>
      </c>
      <c r="B9" t="n">
        <v>2.75</v>
      </c>
      <c r="C9" t="n">
        <v>2.75</v>
      </c>
      <c r="D9" t="n">
        <v>3.99</v>
      </c>
      <c r="E9" t="n">
        <v>3.99</v>
      </c>
      <c r="F9" t="n">
        <v>6.738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concombre</t>
        </is>
      </c>
      <c r="B10" t="n">
        <v>1.05</v>
      </c>
      <c r="C10" t="n">
        <v>0.95</v>
      </c>
      <c r="D10" t="n">
        <v>1.59</v>
      </c>
      <c r="E10" t="n">
        <v>1.49</v>
      </c>
      <c r="F10" t="n">
        <v>96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Cotelée Noire</t>
        </is>
      </c>
      <c r="B11" t="n">
        <v>4.4</v>
      </c>
      <c r="C11" t="n">
        <v>4.6</v>
      </c>
      <c r="D11" t="n">
        <v>6.99</v>
      </c>
      <c r="E11" t="n">
        <v>3.99</v>
      </c>
      <c r="F11" t="n">
        <v>28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Peche Blanche</t>
        </is>
      </c>
      <c r="B12" t="n">
        <v>2.49</v>
      </c>
      <c r="C12" t="n">
        <v>2.49</v>
      </c>
      <c r="D12" t="n">
        <v>3.89</v>
      </c>
      <c r="E12" t="n">
        <v>4.19</v>
      </c>
      <c r="F12" t="n">
        <v>13.3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Batavia</t>
        </is>
      </c>
      <c r="B13" t="n">
        <v>1.45</v>
      </c>
      <c r="C13" t="n">
        <v>1.4</v>
      </c>
      <c r="D13" t="n">
        <v>1.99</v>
      </c>
      <c r="E13" t="n">
        <v>1.99</v>
      </c>
      <c r="F13" t="n">
        <v>72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Laitue</t>
        </is>
      </c>
      <c r="B14" t="n">
        <v>1.45</v>
      </c>
      <c r="C14" t="n">
        <v>1.4</v>
      </c>
      <c r="D14" t="n">
        <v>1.89</v>
      </c>
      <c r="E14" t="n">
        <v>1.99</v>
      </c>
      <c r="F14" t="n">
        <v>12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Peche Jne</t>
        </is>
      </c>
      <c r="B15" t="n">
        <v>2.49</v>
      </c>
      <c r="C15" t="n">
        <v>2.49</v>
      </c>
      <c r="D15" t="n">
        <v>3.89</v>
      </c>
      <c r="E15" t="n">
        <v>4.19</v>
      </c>
      <c r="F15" t="n">
        <v>21.655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B14" sqref="B14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brocolis</t>
        </is>
      </c>
      <c r="B4" t="n">
        <v>4.25</v>
      </c>
      <c r="C4" t="n">
        <v>3.99</v>
      </c>
      <c r="D4" t="n">
        <v>5.99</v>
      </c>
      <c r="E4" t="n">
        <v>5.99</v>
      </c>
      <c r="F4" t="n">
        <v>12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poireau</t>
        </is>
      </c>
      <c r="B5" t="n">
        <v>2.19</v>
      </c>
      <c r="C5" t="n">
        <v>2.59</v>
      </c>
      <c r="D5" t="n">
        <v>3.49</v>
      </c>
      <c r="E5" t="n">
        <v>3.49</v>
      </c>
      <c r="F5" t="n">
        <v>20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oignon rge</t>
        </is>
      </c>
      <c r="B6" t="n">
        <v>2.29</v>
      </c>
      <c r="C6" t="n">
        <v>1.39</v>
      </c>
      <c r="D6" t="n">
        <v>3.99</v>
      </c>
      <c r="E6" t="n">
        <v>4.99</v>
      </c>
      <c r="F6" t="n">
        <v>5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Poivron jne</t>
        </is>
      </c>
      <c r="B7" t="n">
        <v>4.49</v>
      </c>
      <c r="C7" t="n">
        <v>3.19</v>
      </c>
      <c r="D7" t="n">
        <v>6.49</v>
      </c>
      <c r="E7" t="n">
        <v>4.99</v>
      </c>
      <c r="F7" t="n">
        <v>5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feuille de chene rge</t>
        </is>
      </c>
      <c r="B8" t="n">
        <v>1.45</v>
      </c>
      <c r="C8" t="n">
        <v>1.4</v>
      </c>
      <c r="D8" t="n">
        <v>1.89</v>
      </c>
      <c r="E8" t="n">
        <v>1.99</v>
      </c>
      <c r="F8" t="n">
        <v>12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avocat</t>
        </is>
      </c>
      <c r="B9" t="n">
        <v>0.96</v>
      </c>
      <c r="C9" t="n">
        <v>0.55</v>
      </c>
      <c r="D9" t="n">
        <v>1.39</v>
      </c>
      <c r="E9" t="n">
        <v>0.99</v>
      </c>
      <c r="F9" t="n">
        <v>176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peche plate</t>
        </is>
      </c>
      <c r="B10" t="n">
        <v>1.99</v>
      </c>
      <c r="C10" t="n">
        <v>1.89</v>
      </c>
      <c r="D10" t="n">
        <v>3.49</v>
      </c>
      <c r="E10" t="n">
        <v>2.99</v>
      </c>
      <c r="F10" t="n">
        <v>30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aubergine</t>
        </is>
      </c>
      <c r="B11" t="n">
        <v>2.95</v>
      </c>
      <c r="C11" t="n">
        <v>2.65</v>
      </c>
      <c r="D11" t="n">
        <v>3.99</v>
      </c>
      <c r="E11" t="n">
        <v>3.99</v>
      </c>
      <c r="F11" t="n">
        <v>15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feuille de chene Bde</t>
        </is>
      </c>
      <c r="B12" t="n">
        <v>1.45</v>
      </c>
      <c r="C12" t="n">
        <v>1.4</v>
      </c>
      <c r="D12" t="n">
        <v>1.89</v>
      </c>
      <c r="E12" t="n">
        <v>1.99</v>
      </c>
      <c r="F12" t="n">
        <v>12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batavia</t>
        </is>
      </c>
      <c r="B13" t="n">
        <v>1.45</v>
      </c>
      <c r="C13" t="n">
        <v>1.4</v>
      </c>
      <c r="D13" t="n">
        <v>1.99</v>
      </c>
      <c r="E13" t="n">
        <v>1.99</v>
      </c>
      <c r="F13" t="n">
        <v>48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pinklady</t>
        </is>
      </c>
      <c r="B14" t="n">
        <v>2.75</v>
      </c>
      <c r="C14" t="n">
        <v>2.75</v>
      </c>
      <c r="D14" t="n">
        <v>3.99</v>
      </c>
      <c r="E14" t="n">
        <v>3.99</v>
      </c>
      <c r="F14" t="n">
        <v>6.738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concombre</t>
        </is>
      </c>
      <c r="B15" t="n">
        <v>1.05</v>
      </c>
      <c r="C15" t="n">
        <v>0.95</v>
      </c>
      <c r="D15" t="n">
        <v>1.59</v>
      </c>
      <c r="E15" t="n">
        <v>1.49</v>
      </c>
      <c r="F15" t="n">
        <v>120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t="inlineStr">
        <is>
          <t>laitue</t>
        </is>
      </c>
      <c r="B16" t="n">
        <v>1.45</v>
      </c>
      <c r="C16" t="n">
        <v>1.4</v>
      </c>
      <c r="D16" t="n">
        <v>1.89</v>
      </c>
      <c r="E16" t="n">
        <v>1.99</v>
      </c>
      <c r="F16" t="n">
        <v>12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A17" t="inlineStr">
        <is>
          <t>Kiwi Jne</t>
        </is>
      </c>
      <c r="B17" t="n">
        <v>0.8</v>
      </c>
      <c r="C17" t="n">
        <v>0.6</v>
      </c>
      <c r="D17" t="n">
        <v>1.19</v>
      </c>
      <c r="E17" t="n">
        <v>0.99</v>
      </c>
      <c r="F17" t="n">
        <v>118</v>
      </c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D10" sqref="D10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poireau</t>
        </is>
      </c>
      <c r="B4" t="n">
        <v>2.4</v>
      </c>
      <c r="C4" t="n">
        <v>2.59</v>
      </c>
      <c r="D4" t="n">
        <v>3.49</v>
      </c>
      <c r="E4" t="n">
        <v>3.49</v>
      </c>
      <c r="F4" t="n">
        <v>20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echalotte</t>
        </is>
      </c>
      <c r="B5" t="n">
        <v>2.59</v>
      </c>
      <c r="C5" t="n">
        <v>1.6</v>
      </c>
      <c r="D5" t="n">
        <v>3.99</v>
      </c>
      <c r="E5" t="n">
        <v>4.99</v>
      </c>
      <c r="F5" t="n">
        <v>5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feuille de chene Bde</t>
        </is>
      </c>
      <c r="B6" t="n">
        <v>1.45</v>
      </c>
      <c r="C6" t="n">
        <v>1.4</v>
      </c>
      <c r="D6" t="n">
        <v>1.89</v>
      </c>
      <c r="E6" t="n">
        <v>1.99</v>
      </c>
      <c r="F6" t="n">
        <v>24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feuille de chene Rge</t>
        </is>
      </c>
      <c r="B7" t="n">
        <v>1.45</v>
      </c>
      <c r="C7" t="n">
        <v>1.4</v>
      </c>
      <c r="D7" t="n">
        <v>1.89</v>
      </c>
      <c r="E7" t="n">
        <v>1.99</v>
      </c>
      <c r="F7" t="n">
        <v>24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Peche plate</t>
        </is>
      </c>
      <c r="B8" t="n">
        <v>1.99</v>
      </c>
      <c r="C8" t="n">
        <v>1.89</v>
      </c>
      <c r="D8" t="n">
        <v>3.49</v>
      </c>
      <c r="E8" t="n">
        <v>2.99</v>
      </c>
      <c r="F8" t="n">
        <v>20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aubergine</t>
        </is>
      </c>
      <c r="B9" t="n">
        <v>2.8</v>
      </c>
      <c r="C9" t="n">
        <v>2.65</v>
      </c>
      <c r="D9" t="n">
        <v>3.99</v>
      </c>
      <c r="E9" t="n">
        <v>3.99</v>
      </c>
      <c r="F9" t="n">
        <v>20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Batavia</t>
        </is>
      </c>
      <c r="B10" t="n">
        <v>1.28</v>
      </c>
      <c r="C10" t="n">
        <v>1.4</v>
      </c>
      <c r="D10" t="n">
        <v>1.99</v>
      </c>
      <c r="E10" t="n">
        <v>1.99</v>
      </c>
      <c r="F10" t="n">
        <v>54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pinklady</t>
        </is>
      </c>
      <c r="B11" t="n">
        <v>2.75</v>
      </c>
      <c r="C11" t="n">
        <v>2.75</v>
      </c>
      <c r="D11" t="n">
        <v>3.99</v>
      </c>
      <c r="E11" t="n">
        <v>3.99</v>
      </c>
      <c r="F11" t="n">
        <v>6.738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Poivron vert</t>
        </is>
      </c>
      <c r="B12" t="n">
        <v>2.79</v>
      </c>
      <c r="C12" t="n">
        <v>2.6</v>
      </c>
      <c r="E12" t="n">
        <v>4.99</v>
      </c>
      <c r="F12" t="n">
        <v>10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concombre</t>
        </is>
      </c>
      <c r="B13" t="n">
        <v>1.05</v>
      </c>
      <c r="C13" t="n">
        <v>0.95</v>
      </c>
      <c r="D13" t="n">
        <v>1.59</v>
      </c>
      <c r="E13" t="n">
        <v>1.49</v>
      </c>
      <c r="F13" t="n">
        <v>108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laitue</t>
        </is>
      </c>
      <c r="B14" t="n">
        <v>1.45</v>
      </c>
      <c r="C14" t="n">
        <v>1.4</v>
      </c>
      <c r="D14" t="n">
        <v>1.89</v>
      </c>
      <c r="E14" t="n">
        <v>1.99</v>
      </c>
      <c r="F14" t="n">
        <v>12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t="inlineStr">
        <is>
          <t>Avocat</t>
        </is>
      </c>
      <c r="B15" t="n">
        <v>0.96</v>
      </c>
      <c r="C15" t="n">
        <v>0.55</v>
      </c>
      <c r="D15" t="n">
        <v>1.39</v>
      </c>
      <c r="E15" t="n">
        <v>0.99</v>
      </c>
      <c r="F15" t="n">
        <v>88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A16" t="inlineStr">
        <is>
          <t>Kiwi Jne</t>
        </is>
      </c>
      <c r="B16" t="n">
        <v>0.8</v>
      </c>
      <c r="C16" t="n">
        <v>0.6</v>
      </c>
      <c r="D16" t="n">
        <v>1.19</v>
      </c>
      <c r="E16" t="n">
        <v>0.99</v>
      </c>
      <c r="F16" t="n">
        <v>118</v>
      </c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D21" sqref="D21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s="5" t="inlineStr">
        <is>
          <t>Poireau nv 20/30 10K c1 FR</t>
        </is>
      </c>
      <c r="B4" t="n">
        <v>2.4</v>
      </c>
      <c r="C4" t="n">
        <v>2.59</v>
      </c>
      <c r="D4" t="n">
        <v>3.49</v>
      </c>
      <c r="E4" t="n">
        <v>3.49</v>
      </c>
      <c r="F4" t="n">
        <v>20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s="5" t="inlineStr">
        <is>
          <t>Oignon rge 60/80 5K c1 FR</t>
        </is>
      </c>
      <c r="B5" t="n">
        <v>2.39</v>
      </c>
      <c r="C5" t="n">
        <v>1.39</v>
      </c>
      <c r="D5" t="n">
        <v>3.99</v>
      </c>
      <c r="E5" t="n">
        <v>4.99</v>
      </c>
      <c r="F5" t="n">
        <v>5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s="5" t="inlineStr">
        <is>
          <t>Poivron rouge 80/100 5K c1 NL</t>
        </is>
      </c>
      <c r="B6" t="n">
        <v>2.99</v>
      </c>
      <c r="C6" t="n">
        <v>2.9</v>
      </c>
      <c r="D6" t="n">
        <v>4.79</v>
      </c>
      <c r="E6" t="n">
        <v>4.99</v>
      </c>
      <c r="F6" t="n">
        <v>20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s="5" t="inlineStr">
        <is>
          <t>Peche plate bl A 67/73mm ~5K c1 ES</t>
        </is>
      </c>
      <c r="B7" t="n">
        <v>1.99</v>
      </c>
      <c r="C7" t="n">
        <v>1.89</v>
      </c>
      <c r="D7" t="n">
        <v>3.49</v>
      </c>
      <c r="E7" t="n">
        <v>2.99</v>
      </c>
      <c r="F7" t="n">
        <v>30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s="5" t="inlineStr">
        <is>
          <t>Aubergine 300/500 5K c1 SLC</t>
        </is>
      </c>
      <c r="B8" t="n">
        <v>2.8</v>
      </c>
      <c r="C8" t="n">
        <v>2.65</v>
      </c>
      <c r="D8" t="n">
        <v>3.99</v>
      </c>
      <c r="E8" t="n">
        <v>3.99</v>
      </c>
      <c r="F8" t="n">
        <v>10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s="5" t="inlineStr">
        <is>
          <t>Sal feuille chene bld 12P c1 SLC</t>
        </is>
      </c>
      <c r="B9" t="n">
        <v>1.45</v>
      </c>
      <c r="C9" t="n">
        <v>1.4</v>
      </c>
      <c r="D9" t="n">
        <v>1.89</v>
      </c>
      <c r="E9" t="n">
        <v>1.99</v>
      </c>
      <c r="F9" t="n">
        <v>12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s="5" t="inlineStr">
        <is>
          <t>Sal feuille chene rg 12P c1 SLC</t>
        </is>
      </c>
      <c r="B10" t="n">
        <v>1.45</v>
      </c>
      <c r="C10" t="n">
        <v>1.4</v>
      </c>
      <c r="D10" t="n">
        <v>1.89</v>
      </c>
      <c r="E10" t="n">
        <v>1.99</v>
      </c>
      <c r="F10" t="n">
        <v>12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s="5" t="inlineStr">
        <is>
          <t>Poivron vert 80/100 plt 5K c1 SLC</t>
        </is>
      </c>
      <c r="B11" t="n">
        <v>2.79</v>
      </c>
      <c r="C11" t="n">
        <v>2.6</v>
      </c>
      <c r="D11" t="n">
        <v>4.49</v>
      </c>
      <c r="E11" t="n">
        <v>4.99</v>
      </c>
      <c r="F11" t="n">
        <v>5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s="5" t="inlineStr">
        <is>
          <t>Concombre 300/400 12P c1 FR</t>
        </is>
      </c>
      <c r="B12" t="n">
        <v>1.05</v>
      </c>
      <c r="C12" t="n">
        <v>0.95</v>
      </c>
      <c r="D12" t="n">
        <v>1.59</v>
      </c>
      <c r="E12" t="n">
        <v>1.49</v>
      </c>
      <c r="F12" t="n">
        <v>120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s="5" t="inlineStr">
        <is>
          <t>Sal batavia blonde 12P c1 SLC1</t>
        </is>
      </c>
      <c r="B13" t="n">
        <v>1.28</v>
      </c>
      <c r="C13" t="n">
        <v>1.4</v>
      </c>
      <c r="D13" t="n">
        <v>1.99</v>
      </c>
      <c r="E13" t="n">
        <v>1.99</v>
      </c>
      <c r="F13" t="n">
        <v>72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s="5" t="inlineStr">
        <is>
          <t>Pom pinklady 190/220 1r ~7K c1 CL°</t>
        </is>
      </c>
      <c r="B14" t="n">
        <v>2.79</v>
      </c>
      <c r="C14" t="n">
        <v>2.79</v>
      </c>
      <c r="D14" t="n">
        <v>3.99</v>
      </c>
      <c r="E14" t="n">
        <v>3.99</v>
      </c>
      <c r="F14" t="n">
        <v>7.14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A15" s="5" t="inlineStr">
        <is>
          <t>Sal laitue blonde 12P c1 SLC1</t>
        </is>
      </c>
      <c r="B15" t="n">
        <v>1.45</v>
      </c>
      <c r="C15" t="n">
        <v>1.4</v>
      </c>
      <c r="D15" t="n">
        <v>1.89</v>
      </c>
      <c r="E15" t="n">
        <v>1.99</v>
      </c>
      <c r="F15" t="n">
        <v>12</v>
      </c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1"/>
  <sheetViews>
    <sheetView tabSelected="1" topLeftCell="A4" workbookViewId="0">
      <selection activeCell="D15" sqref="D15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poireau</t>
        </is>
      </c>
      <c r="B4" t="n">
        <v>2.4</v>
      </c>
      <c r="C4" t="n">
        <v>2.59</v>
      </c>
      <c r="D4" t="n">
        <v>3.49</v>
      </c>
      <c r="E4" t="n">
        <v>3.49</v>
      </c>
      <c r="F4" t="n">
        <v>20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Poivron rouge</t>
        </is>
      </c>
      <c r="B5" t="n">
        <v>2.59</v>
      </c>
      <c r="C5" t="n">
        <v>2.9</v>
      </c>
      <c r="D5" t="n">
        <v>3.99</v>
      </c>
      <c r="E5" t="n">
        <v>4.99</v>
      </c>
      <c r="F5" t="n">
        <v>165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Aubergine</t>
        </is>
      </c>
      <c r="B6" t="n">
        <v>2.8</v>
      </c>
      <c r="C6" t="n">
        <v>2.65</v>
      </c>
      <c r="D6" t="n">
        <v>3.99</v>
      </c>
      <c r="E6" t="n">
        <v>3.89</v>
      </c>
      <c r="F6" t="n">
        <v>10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feuille de chene Bde</t>
        </is>
      </c>
      <c r="B7" t="n">
        <v>1.45</v>
      </c>
      <c r="C7" t="n">
        <v>1.4</v>
      </c>
      <c r="D7" t="n">
        <v>1.89</v>
      </c>
      <c r="E7" t="n">
        <v>1.99</v>
      </c>
      <c r="F7" t="n">
        <v>48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feuillede chene rge</t>
        </is>
      </c>
      <c r="B8" t="n">
        <v>1.45</v>
      </c>
      <c r="C8" t="n">
        <v>1.4</v>
      </c>
      <c r="D8" t="n">
        <v>1.89</v>
      </c>
      <c r="E8" t="n">
        <v>1.99</v>
      </c>
      <c r="F8" t="n">
        <v>12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Poivron vert</t>
        </is>
      </c>
      <c r="B9" t="n">
        <v>2.79</v>
      </c>
      <c r="C9" t="n">
        <v>2.6</v>
      </c>
      <c r="D9" t="n">
        <v>4.49</v>
      </c>
      <c r="E9" t="n">
        <v>4.49</v>
      </c>
      <c r="F9" t="n">
        <v>5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concombre</t>
        </is>
      </c>
      <c r="B10" t="n">
        <v>0.95</v>
      </c>
      <c r="C10" t="n">
        <v>0.95</v>
      </c>
      <c r="D10" t="n">
        <v>1.19</v>
      </c>
      <c r="E10" t="n">
        <v>1.19</v>
      </c>
      <c r="F10" t="n">
        <v>72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batavia</t>
        </is>
      </c>
      <c r="B11" t="n">
        <v>1.28</v>
      </c>
      <c r="C11" t="n">
        <v>1.4</v>
      </c>
      <c r="D11" t="n">
        <v>1.99</v>
      </c>
      <c r="E11" t="n">
        <v>1.99</v>
      </c>
      <c r="F11" t="n">
        <v>48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pinklady</t>
        </is>
      </c>
      <c r="B12" t="n">
        <v>2.79</v>
      </c>
      <c r="C12" t="n">
        <v>2.79</v>
      </c>
      <c r="D12" t="n">
        <v>3.99</v>
      </c>
      <c r="E12" t="n">
        <v>3.99</v>
      </c>
      <c r="F12" t="n">
        <v>7.14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avocat</t>
        </is>
      </c>
      <c r="B13" t="n">
        <v>0.96</v>
      </c>
      <c r="C13" t="n">
        <v>0.65</v>
      </c>
      <c r="D13" t="n">
        <v>1.39</v>
      </c>
      <c r="E13" t="n">
        <v>1.39</v>
      </c>
      <c r="F13" t="n">
        <v>88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kiwi Jne</t>
        </is>
      </c>
      <c r="B14" t="n">
        <v>0.8</v>
      </c>
      <c r="C14" t="n">
        <v>0.6</v>
      </c>
      <c r="D14" t="n">
        <v>1.19</v>
      </c>
      <c r="E14" t="n">
        <v>0.99</v>
      </c>
      <c r="F14" t="n">
        <v>59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Poireau nv 20/30 10K c1 FR</t>
        </is>
      </c>
      <c r="C4" t="n">
        <v>2.59</v>
      </c>
      <c r="F4" t="n">
        <v>20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Poivron jaune 80/100 5K c1 MA</t>
        </is>
      </c>
      <c r="C5" t="n">
        <v>3.19</v>
      </c>
      <c r="F5" t="n">
        <v>10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Avocat hass 165/196g pad 22f c1 KE</t>
        </is>
      </c>
      <c r="C6" t="n">
        <v>0.55</v>
      </c>
      <c r="F6" t="n">
        <v>176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Peche plate bl A 67/73mm ~5K c1 ES</t>
        </is>
      </c>
      <c r="C7" t="n">
        <v>1.89</v>
      </c>
      <c r="F7" t="n">
        <v>20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Aubergine 300/500 5K c1 SLC</t>
        </is>
      </c>
      <c r="C8" t="n">
        <v>2.65</v>
      </c>
      <c r="F8" t="n">
        <v>5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Sal feuille chene bld 12P c1 SLC</t>
        </is>
      </c>
      <c r="C9" t="n">
        <v>1.4</v>
      </c>
      <c r="F9" t="n">
        <v>48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Sal feuille chene rg 12P c1 SLC</t>
        </is>
      </c>
      <c r="C10" t="n">
        <v>1.4</v>
      </c>
      <c r="F10" t="n">
        <v>48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Sal batavia blonde 6P c1 SLC1</t>
        </is>
      </c>
      <c r="C11" t="n">
        <v>1.4</v>
      </c>
      <c r="F11" t="n">
        <v>48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Pom pinklady 190/220 1r ~7K c1 CL°</t>
        </is>
      </c>
      <c r="C12" t="n">
        <v>2.79</v>
      </c>
      <c r="F12" t="n">
        <v>13.53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Sal laitue blonde 6P c1 SLC1</t>
        </is>
      </c>
      <c r="C13" t="n">
        <v>1.4</v>
      </c>
      <c r="F13" t="n">
        <v>12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Kiwi jne 88/103g 59F Zespri c1 NZ°</t>
        </is>
      </c>
      <c r="C14" t="n">
        <v>0.6</v>
      </c>
      <c r="F14" t="n">
        <v>118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Oignon rge 60/80 5K c1 FR</t>
        </is>
      </c>
      <c r="C4" t="n">
        <v>1.39</v>
      </c>
      <c r="F4" t="n">
        <v>10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Poivron vert 80/100 5K c1 NL</t>
        </is>
      </c>
      <c r="C5" t="n">
        <v>2.6</v>
      </c>
      <c r="F5" t="n">
        <v>10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Peche plate bl A 61/73mm ~5K c1 ES</t>
        </is>
      </c>
      <c r="C6" t="n">
        <v>1.89</v>
      </c>
      <c r="F6" t="n">
        <v>20.676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Sal feuille chene rg 6P c1 SLC1</t>
        </is>
      </c>
      <c r="C7" t="n">
        <v>1.4</v>
      </c>
      <c r="F7" t="n">
        <v>18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Sal feuille chene bld 6P c1 SLC1</t>
        </is>
      </c>
      <c r="C8" t="n">
        <v>1.4</v>
      </c>
      <c r="F8" t="n">
        <v>48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Sal batavia blonde 6P c1 SLC1</t>
        </is>
      </c>
      <c r="C9" t="n">
        <v>1.4</v>
      </c>
      <c r="F9" t="n">
        <v>48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Pom pinklady 190/220 1r ~7K c1 CL°</t>
        </is>
      </c>
      <c r="C10" t="n">
        <v>2.79</v>
      </c>
      <c r="F10" t="n">
        <v>13.53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Sal laitue blonde 6P c1 SLC1</t>
        </is>
      </c>
      <c r="C11" t="n">
        <v>1.4</v>
      </c>
      <c r="F11" t="n">
        <v>12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Avocat hass 165/196g pad22F SeiTA c1ZW°</t>
        </is>
      </c>
      <c r="C12" t="n">
        <v>0.65</v>
      </c>
      <c r="F12" t="n">
        <v>176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Kiwi jne 103/114g 52F Zespri c1 NZ°</t>
        </is>
      </c>
      <c r="C13" t="n">
        <v>0.6</v>
      </c>
      <c r="F13" t="n">
        <v>52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A14" t="inlineStr">
        <is>
          <t>Aubergine 500/600 CE2 plt 5K B&amp;E c1 SLC°</t>
        </is>
      </c>
      <c r="C14" t="n">
        <v>2.65</v>
      </c>
      <c r="F14" t="n">
        <v>10</v>
      </c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10" defaultRowHeight="15"/>
  <sheetData>
    <row r="1">
      <c r="A1" s="1" t="n"/>
      <c r="B1" s="2">
        <f>AVERAGE(B4:B38)</f>
        <v/>
      </c>
      <c r="C1" s="2">
        <f>AVERAGE(C4:C30)</f>
        <v/>
      </c>
      <c r="D1" s="2">
        <f>AVERAGE(D4:D60)</f>
        <v/>
      </c>
      <c r="E1" s="2">
        <f>AVERAGE(E4:E60)</f>
        <v/>
      </c>
      <c r="F1" s="1">
        <f>SUM(F4:F50)</f>
        <v/>
      </c>
      <c r="G1" s="1">
        <f>D1-E1</f>
        <v/>
      </c>
    </row>
    <row r="2">
      <c r="A2" t="inlineStr">
        <is>
          <t>Produit</t>
        </is>
      </c>
      <c r="B2" t="inlineStr">
        <is>
          <t>PA base</t>
        </is>
      </c>
      <c r="C2" t="inlineStr">
        <is>
          <t>PA direct</t>
        </is>
      </c>
      <c r="D2" t="inlineStr">
        <is>
          <t>PV préco base</t>
        </is>
      </c>
      <c r="E2" t="inlineStr">
        <is>
          <t>PV magasin</t>
        </is>
      </c>
      <c r="F2" t="inlineStr">
        <is>
          <t>Quantité</t>
        </is>
      </c>
      <c r="G2" s="3" t="inlineStr">
        <is>
          <t>Marge servi base</t>
        </is>
      </c>
      <c r="H2" s="3" t="inlineStr">
        <is>
          <t>Marge servi direct</t>
        </is>
      </c>
      <c r="I2" s="4" t="inlineStr">
        <is>
          <t>Marge servi Direct</t>
        </is>
      </c>
      <c r="J2" s="4" t="n"/>
      <c r="K2" s="4" t="n"/>
      <c r="L2" s="4" t="n"/>
      <c r="M2" s="4" t="n"/>
      <c r="N2" s="4" t="inlineStr">
        <is>
          <t>Marge servi base</t>
        </is>
      </c>
      <c r="O2" s="4" t="n"/>
      <c r="P2" s="4" t="n"/>
      <c r="Q2" s="4" t="n"/>
      <c r="R2" s="4" t="n"/>
    </row>
    <row r="3">
      <c r="G3" s="2">
        <f>Q3/R3</f>
        <v/>
      </c>
      <c r="H3" s="2">
        <f>L3/M3</f>
        <v/>
      </c>
      <c r="I3" s="4">
        <f>SUM(I4:I50)</f>
        <v/>
      </c>
      <c r="J3" s="4">
        <f>SUM(J4:J50)</f>
        <v/>
      </c>
      <c r="K3" s="4">
        <f>SUM(K4:K50)</f>
        <v/>
      </c>
      <c r="L3" s="4">
        <f>SUM(L4:L50)</f>
        <v/>
      </c>
      <c r="M3" s="4">
        <f>SUM(M4:M50)</f>
        <v/>
      </c>
      <c r="N3" s="4">
        <f>SUM(N4:N50)</f>
        <v/>
      </c>
      <c r="O3" s="4">
        <f>SUM(O4:O50)</f>
        <v/>
      </c>
      <c r="P3" s="4">
        <f>SUM(P4:P50)</f>
        <v/>
      </c>
      <c r="Q3" s="4">
        <f>SUM(Q4:Q50)</f>
        <v/>
      </c>
      <c r="R3" s="4">
        <f>SUM(R4:R50)</f>
        <v/>
      </c>
    </row>
    <row r="4">
      <c r="A4" t="inlineStr">
        <is>
          <t>Poireau nv 20/30 10K c1 FR</t>
        </is>
      </c>
      <c r="C4" t="n">
        <v>2.59</v>
      </c>
      <c r="F4" t="n">
        <v>30</v>
      </c>
      <c r="G4" s="1">
        <f>Q4/R4</f>
        <v/>
      </c>
      <c r="H4" s="1">
        <f>L4/M4</f>
        <v/>
      </c>
      <c r="I4">
        <f>E4/1.055</f>
        <v/>
      </c>
      <c r="J4">
        <f>I4-C4</f>
        <v/>
      </c>
      <c r="K4">
        <f>J4*F4</f>
        <v/>
      </c>
      <c r="L4">
        <f>K4*100</f>
        <v/>
      </c>
      <c r="M4">
        <f>E4*F4</f>
        <v/>
      </c>
      <c r="N4">
        <f>D4/1.055</f>
        <v/>
      </c>
      <c r="O4">
        <f>N4-B4</f>
        <v/>
      </c>
      <c r="P4">
        <f>O4*F4</f>
        <v/>
      </c>
      <c r="Q4">
        <f>P4*100</f>
        <v/>
      </c>
      <c r="R4">
        <f>D4*F4</f>
        <v/>
      </c>
    </row>
    <row r="5">
      <c r="A5" t="inlineStr">
        <is>
          <t>Echalote td 1/2 lg 30/50 5K c1 FR</t>
        </is>
      </c>
      <c r="C5" t="n">
        <v>1.6</v>
      </c>
      <c r="F5" t="n">
        <v>5</v>
      </c>
      <c r="G5" s="1">
        <f>Q5/R5</f>
        <v/>
      </c>
      <c r="H5" s="1">
        <f>L5/M5</f>
        <v/>
      </c>
      <c r="I5">
        <f>E5/1.055</f>
        <v/>
      </c>
      <c r="J5">
        <f>I5-C5</f>
        <v/>
      </c>
      <c r="K5">
        <f>J5*F5</f>
        <v/>
      </c>
      <c r="L5">
        <f>K5*100</f>
        <v/>
      </c>
      <c r="M5">
        <f>E5*F5</f>
        <v/>
      </c>
      <c r="N5">
        <f>D5/1.055</f>
        <v/>
      </c>
      <c r="O5">
        <f>N5-B5</f>
        <v/>
      </c>
      <c r="P5">
        <f>O5*F5</f>
        <v/>
      </c>
      <c r="Q5">
        <f>P5*100</f>
        <v/>
      </c>
      <c r="R5">
        <f>D5*F5</f>
        <v/>
      </c>
    </row>
    <row r="6">
      <c r="A6" t="inlineStr">
        <is>
          <t>Oignon rge 60/80 5K c1 FR</t>
        </is>
      </c>
      <c r="C6" t="n">
        <v>1.39</v>
      </c>
      <c r="F6" t="n">
        <v>10</v>
      </c>
      <c r="G6" s="1">
        <f>Q6/R6</f>
        <v/>
      </c>
      <c r="H6" s="1">
        <f>L6/M6</f>
        <v/>
      </c>
      <c r="I6">
        <f>E6/1.055</f>
        <v/>
      </c>
      <c r="J6">
        <f>I6-C6</f>
        <v/>
      </c>
      <c r="K6">
        <f>J6*F6</f>
        <v/>
      </c>
      <c r="L6">
        <f>K6*100</f>
        <v/>
      </c>
      <c r="M6">
        <f>E6*F6</f>
        <v/>
      </c>
      <c r="N6">
        <f>D6/1.055</f>
        <v/>
      </c>
      <c r="O6">
        <f>N6-B6</f>
        <v/>
      </c>
      <c r="P6">
        <f>O6*F6</f>
        <v/>
      </c>
      <c r="Q6">
        <f>P6*100</f>
        <v/>
      </c>
      <c r="R6">
        <f>D6*F6</f>
        <v/>
      </c>
    </row>
    <row r="7">
      <c r="A7" t="inlineStr">
        <is>
          <t>Peche plate bl A 67/73mm ~5K c1 ES</t>
        </is>
      </c>
      <c r="C7" t="n">
        <v>1.89</v>
      </c>
      <c r="F7" t="n">
        <v>10.338</v>
      </c>
      <c r="G7" s="1">
        <f>Q7/R7</f>
        <v/>
      </c>
      <c r="H7" s="1">
        <f>L7/M7</f>
        <v/>
      </c>
      <c r="I7">
        <f>E7/1.055</f>
        <v/>
      </c>
      <c r="J7">
        <f>I7-C7</f>
        <v/>
      </c>
      <c r="K7">
        <f>J7*F7</f>
        <v/>
      </c>
      <c r="L7">
        <f>K7*100</f>
        <v/>
      </c>
      <c r="M7">
        <f>E7*F7</f>
        <v/>
      </c>
      <c r="N7">
        <f>D7/1.055</f>
        <v/>
      </c>
      <c r="O7">
        <f>N7-B7</f>
        <v/>
      </c>
      <c r="P7">
        <f>O7*F7</f>
        <v/>
      </c>
      <c r="Q7">
        <f>P7*100</f>
        <v/>
      </c>
      <c r="R7">
        <f>D7*F7</f>
        <v/>
      </c>
    </row>
    <row r="8">
      <c r="A8" t="inlineStr">
        <is>
          <t>Sal feuille chene bld 6P c1 SLC1</t>
        </is>
      </c>
      <c r="C8" t="n">
        <v>1.4</v>
      </c>
      <c r="F8" t="n">
        <v>36</v>
      </c>
      <c r="G8" s="1">
        <f>Q8/R8</f>
        <v/>
      </c>
      <c r="H8" s="1">
        <f>L8/M8</f>
        <v/>
      </c>
      <c r="I8">
        <f>E8/1.055</f>
        <v/>
      </c>
      <c r="J8">
        <f>I8-C8</f>
        <v/>
      </c>
      <c r="K8">
        <f>J8*F8</f>
        <v/>
      </c>
      <c r="L8">
        <f>K8*100</f>
        <v/>
      </c>
      <c r="M8">
        <f>E8*F8</f>
        <v/>
      </c>
      <c r="N8">
        <f>D8/1.055</f>
        <v/>
      </c>
      <c r="O8">
        <f>N8-B8</f>
        <v/>
      </c>
      <c r="P8">
        <f>O8*F8</f>
        <v/>
      </c>
      <c r="Q8">
        <f>P8*100</f>
        <v/>
      </c>
      <c r="R8">
        <f>D8*F8</f>
        <v/>
      </c>
    </row>
    <row r="9">
      <c r="A9" t="inlineStr">
        <is>
          <t>Sal batavia blonde 6P c1 SLC1</t>
        </is>
      </c>
      <c r="C9" t="n">
        <v>1.4</v>
      </c>
      <c r="F9" t="n">
        <v>36</v>
      </c>
      <c r="G9" s="1">
        <f>Q9/R9</f>
        <v/>
      </c>
      <c r="H9" s="1">
        <f>L9/M9</f>
        <v/>
      </c>
      <c r="I9">
        <f>E9/1.055</f>
        <v/>
      </c>
      <c r="J9">
        <f>I9-C9</f>
        <v/>
      </c>
      <c r="K9">
        <f>J9*F9</f>
        <v/>
      </c>
      <c r="L9">
        <f>K9*100</f>
        <v/>
      </c>
      <c r="M9">
        <f>E9*F9</f>
        <v/>
      </c>
      <c r="N9">
        <f>D9/1.055</f>
        <v/>
      </c>
      <c r="O9">
        <f>N9-B9</f>
        <v/>
      </c>
      <c r="P9">
        <f>O9*F9</f>
        <v/>
      </c>
      <c r="Q9">
        <f>P9*100</f>
        <v/>
      </c>
      <c r="R9">
        <f>D9*F9</f>
        <v/>
      </c>
    </row>
    <row r="10">
      <c r="A10" t="inlineStr">
        <is>
          <t>Pom pinklady 190/220 1r ~7K c1 CL°</t>
        </is>
      </c>
      <c r="C10" t="n">
        <v>2.79</v>
      </c>
      <c r="F10" t="n">
        <v>13.356</v>
      </c>
      <c r="G10" s="1">
        <f>Q10/R10</f>
        <v/>
      </c>
      <c r="H10" s="1">
        <f>L10/M10</f>
        <v/>
      </c>
      <c r="I10">
        <f>E10/1.055</f>
        <v/>
      </c>
      <c r="J10">
        <f>I10-C10</f>
        <v/>
      </c>
      <c r="K10">
        <f>J10*F10</f>
        <v/>
      </c>
      <c r="L10">
        <f>K10*100</f>
        <v/>
      </c>
      <c r="M10">
        <f>E10*F10</f>
        <v/>
      </c>
      <c r="N10">
        <f>D10/1.055</f>
        <v/>
      </c>
      <c r="O10">
        <f>N10-B10</f>
        <v/>
      </c>
      <c r="P10">
        <f>O10*F10</f>
        <v/>
      </c>
      <c r="Q10">
        <f>P10*100</f>
        <v/>
      </c>
      <c r="R10">
        <f>D10*F10</f>
        <v/>
      </c>
    </row>
    <row r="11">
      <c r="A11" t="inlineStr">
        <is>
          <t>Sal laitue blonde 6P c1 SLC1</t>
        </is>
      </c>
      <c r="C11" t="n">
        <v>1.4</v>
      </c>
      <c r="F11" t="n">
        <v>12</v>
      </c>
      <c r="G11" s="1">
        <f>Q11/R11</f>
        <v/>
      </c>
      <c r="H11" s="1">
        <f>L11/M11</f>
        <v/>
      </c>
      <c r="I11">
        <f>E11/1.055</f>
        <v/>
      </c>
      <c r="J11">
        <f>I11-C11</f>
        <v/>
      </c>
      <c r="K11">
        <f>J11*F11</f>
        <v/>
      </c>
      <c r="L11">
        <f>K11*100</f>
        <v/>
      </c>
      <c r="M11">
        <f>E11*F11</f>
        <v/>
      </c>
      <c r="N11">
        <f>D11/1.055</f>
        <v/>
      </c>
      <c r="O11">
        <f>N11-B11</f>
        <v/>
      </c>
      <c r="P11">
        <f>O11*F11</f>
        <v/>
      </c>
      <c r="Q11">
        <f>P11*100</f>
        <v/>
      </c>
      <c r="R11">
        <f>D11*F11</f>
        <v/>
      </c>
    </row>
    <row r="12">
      <c r="A12" t="inlineStr">
        <is>
          <t>Kiwi jne 103/114g 52F Zespri c1 NZ°</t>
        </is>
      </c>
      <c r="C12" t="n">
        <v>0.6</v>
      </c>
      <c r="F12" t="n">
        <v>52</v>
      </c>
      <c r="G12" s="1">
        <f>Q12/R12</f>
        <v/>
      </c>
      <c r="H12" s="1">
        <f>L12/M12</f>
        <v/>
      </c>
      <c r="I12">
        <f>E12/1.055</f>
        <v/>
      </c>
      <c r="J12">
        <f>I12-C12</f>
        <v/>
      </c>
      <c r="K12">
        <f>J12*F12</f>
        <v/>
      </c>
      <c r="L12">
        <f>K12*100</f>
        <v/>
      </c>
      <c r="M12">
        <f>E12*F12</f>
        <v/>
      </c>
      <c r="N12">
        <f>D12/1.055</f>
        <v/>
      </c>
      <c r="O12">
        <f>N12-B12</f>
        <v/>
      </c>
      <c r="P12">
        <f>O12*F12</f>
        <v/>
      </c>
      <c r="Q12">
        <f>P12*100</f>
        <v/>
      </c>
      <c r="R12">
        <f>D12*F12</f>
        <v/>
      </c>
    </row>
    <row r="13">
      <c r="A13" t="inlineStr">
        <is>
          <t>Aubergine 300/400 CE2 plt 5K B&amp;E c1 SLC°</t>
        </is>
      </c>
      <c r="C13" t="n">
        <v>2.9</v>
      </c>
      <c r="F13" t="n">
        <v>30</v>
      </c>
      <c r="G13" s="1">
        <f>Q13/R13</f>
        <v/>
      </c>
      <c r="H13" s="1">
        <f>L13/M13</f>
        <v/>
      </c>
      <c r="I13">
        <f>E13/1.055</f>
        <v/>
      </c>
      <c r="J13">
        <f>I13-C13</f>
        <v/>
      </c>
      <c r="K13">
        <f>J13*F13</f>
        <v/>
      </c>
      <c r="L13">
        <f>K13*100</f>
        <v/>
      </c>
      <c r="M13">
        <f>E13*F13</f>
        <v/>
      </c>
      <c r="N13">
        <f>D13/1.055</f>
        <v/>
      </c>
      <c r="O13">
        <f>N13-B13</f>
        <v/>
      </c>
      <c r="P13">
        <f>O13*F13</f>
        <v/>
      </c>
      <c r="Q13">
        <f>P13*100</f>
        <v/>
      </c>
      <c r="R13">
        <f>D13*F13</f>
        <v/>
      </c>
    </row>
    <row r="14">
      <c r="G14" s="1">
        <f>Q14/R14</f>
        <v/>
      </c>
      <c r="H14" s="1">
        <f>L14/M14</f>
        <v/>
      </c>
      <c r="I14">
        <f>E14/1.055</f>
        <v/>
      </c>
      <c r="J14">
        <f>I14-C14</f>
        <v/>
      </c>
      <c r="K14">
        <f>J14*F14</f>
        <v/>
      </c>
      <c r="L14">
        <f>K14*100</f>
        <v/>
      </c>
      <c r="M14">
        <f>E14*F14</f>
        <v/>
      </c>
      <c r="N14">
        <f>D14/1.055</f>
        <v/>
      </c>
      <c r="O14">
        <f>N14-B14</f>
        <v/>
      </c>
      <c r="P14">
        <f>O14*F14</f>
        <v/>
      </c>
      <c r="Q14">
        <f>P14*100</f>
        <v/>
      </c>
      <c r="R14">
        <f>D14*F14</f>
        <v/>
      </c>
    </row>
    <row r="15">
      <c r="G15" s="1">
        <f>Q15/R15</f>
        <v/>
      </c>
      <c r="H15" s="1">
        <f>L15/M15</f>
        <v/>
      </c>
      <c r="I15">
        <f>E15/1.055</f>
        <v/>
      </c>
      <c r="J15">
        <f>I15-C15</f>
        <v/>
      </c>
      <c r="K15">
        <f>J15*F15</f>
        <v/>
      </c>
      <c r="L15">
        <f>K15*100</f>
        <v/>
      </c>
      <c r="M15">
        <f>E15*F15</f>
        <v/>
      </c>
      <c r="N15">
        <f>D15/1.055</f>
        <v/>
      </c>
      <c r="O15">
        <f>N15-B15</f>
        <v/>
      </c>
      <c r="P15">
        <f>O15*F15</f>
        <v/>
      </c>
      <c r="Q15">
        <f>P15*100</f>
        <v/>
      </c>
      <c r="R15">
        <f>D15*F15</f>
        <v/>
      </c>
    </row>
    <row r="16">
      <c r="G16" s="1">
        <f>Q16/R16</f>
        <v/>
      </c>
      <c r="H16" s="1">
        <f>L16/M16</f>
        <v/>
      </c>
      <c r="I16">
        <f>E16/1.055</f>
        <v/>
      </c>
      <c r="J16">
        <f>I16-C16</f>
        <v/>
      </c>
      <c r="K16">
        <f>J16*F16</f>
        <v/>
      </c>
      <c r="L16">
        <f>K16*100</f>
        <v/>
      </c>
      <c r="M16">
        <f>E16*F16</f>
        <v/>
      </c>
      <c r="N16">
        <f>D16/1.055</f>
        <v/>
      </c>
      <c r="O16">
        <f>N16-B16</f>
        <v/>
      </c>
      <c r="P16">
        <f>O16*F16</f>
        <v/>
      </c>
      <c r="Q16">
        <f>P16*100</f>
        <v/>
      </c>
      <c r="R16">
        <f>D16*F16</f>
        <v/>
      </c>
    </row>
    <row r="17">
      <c r="G17" s="1">
        <f>Q17/R17</f>
        <v/>
      </c>
      <c r="H17" s="1">
        <f>L17/M17</f>
        <v/>
      </c>
      <c r="I17">
        <f>E17/1.055</f>
        <v/>
      </c>
      <c r="J17">
        <f>I17-C17</f>
        <v/>
      </c>
      <c r="K17">
        <f>J17*F17</f>
        <v/>
      </c>
      <c r="L17">
        <f>K17*100</f>
        <v/>
      </c>
      <c r="M17">
        <f>E17*F17</f>
        <v/>
      </c>
      <c r="N17">
        <f>D17/1.055</f>
        <v/>
      </c>
      <c r="O17">
        <f>N17-B17</f>
        <v/>
      </c>
      <c r="P17">
        <f>O17*F17</f>
        <v/>
      </c>
      <c r="Q17">
        <f>P17*100</f>
        <v/>
      </c>
      <c r="R17">
        <f>D17*F17</f>
        <v/>
      </c>
    </row>
    <row r="18">
      <c r="G18" s="1">
        <f>Q18/R18</f>
        <v/>
      </c>
      <c r="H18" s="1">
        <f>L18/M18</f>
        <v/>
      </c>
      <c r="I18">
        <f>E18/1.055</f>
        <v/>
      </c>
      <c r="J18">
        <f>I18-C18</f>
        <v/>
      </c>
      <c r="K18">
        <f>J18*F18</f>
        <v/>
      </c>
      <c r="L18">
        <f>K18*100</f>
        <v/>
      </c>
      <c r="M18">
        <f>E18*F18</f>
        <v/>
      </c>
      <c r="N18">
        <f>D18/1.055</f>
        <v/>
      </c>
      <c r="O18">
        <f>N18-B18</f>
        <v/>
      </c>
      <c r="P18">
        <f>O18*F18</f>
        <v/>
      </c>
      <c r="Q18">
        <f>P18*100</f>
        <v/>
      </c>
      <c r="R18">
        <f>D18*F18</f>
        <v/>
      </c>
    </row>
    <row r="19">
      <c r="G19" s="1">
        <f>Q19/R19</f>
        <v/>
      </c>
      <c r="H19" s="1">
        <f>L19/M19</f>
        <v/>
      </c>
      <c r="I19">
        <f>E19/1.055</f>
        <v/>
      </c>
      <c r="J19">
        <f>I19-C19</f>
        <v/>
      </c>
      <c r="K19">
        <f>J19*F19</f>
        <v/>
      </c>
      <c r="L19">
        <f>K19*100</f>
        <v/>
      </c>
      <c r="M19">
        <f>E19*F19</f>
        <v/>
      </c>
      <c r="N19">
        <f>D19/1.055</f>
        <v/>
      </c>
      <c r="O19">
        <f>N19-B19</f>
        <v/>
      </c>
      <c r="P19">
        <f>O19*F19</f>
        <v/>
      </c>
      <c r="Q19">
        <f>P19*100</f>
        <v/>
      </c>
      <c r="R19">
        <f>D19*F19</f>
        <v/>
      </c>
    </row>
    <row r="20">
      <c r="G20" s="1">
        <f>Q20/R20</f>
        <v/>
      </c>
      <c r="H20" s="1">
        <f>L20/M20</f>
        <v/>
      </c>
      <c r="I20">
        <f>E20/1.055</f>
        <v/>
      </c>
      <c r="J20">
        <f>I20-C20</f>
        <v/>
      </c>
      <c r="K20">
        <f>J20*F20</f>
        <v/>
      </c>
      <c r="L20">
        <f>K20*100</f>
        <v/>
      </c>
      <c r="M20">
        <f>E20*F20</f>
        <v/>
      </c>
      <c r="N20">
        <f>D20/1.055</f>
        <v/>
      </c>
      <c r="O20">
        <f>N20-B20</f>
        <v/>
      </c>
      <c r="P20">
        <f>O20*F20</f>
        <v/>
      </c>
      <c r="Q20">
        <f>P20*100</f>
        <v/>
      </c>
      <c r="R20">
        <f>D20*F20</f>
        <v/>
      </c>
    </row>
    <row r="21">
      <c r="G21" s="1">
        <f>Q21/R21</f>
        <v/>
      </c>
      <c r="H21" s="1">
        <f>L21/M21</f>
        <v/>
      </c>
      <c r="I21">
        <f>E21/1.055</f>
        <v/>
      </c>
      <c r="J21">
        <f>I21-C21</f>
        <v/>
      </c>
      <c r="K21">
        <f>J21*F21</f>
        <v/>
      </c>
      <c r="L21">
        <f>K21*100</f>
        <v/>
      </c>
      <c r="M21">
        <f>E21*F21</f>
        <v/>
      </c>
      <c r="N21">
        <f>D21/1.055</f>
        <v/>
      </c>
      <c r="O21">
        <f>N21-B21</f>
        <v/>
      </c>
      <c r="P21">
        <f>O21*F21</f>
        <v/>
      </c>
      <c r="Q21">
        <f>P21*100</f>
        <v/>
      </c>
      <c r="R21">
        <f>D21*F21</f>
        <v/>
      </c>
    </row>
    <row r="22">
      <c r="G22" s="1">
        <f>Q22/R22</f>
        <v/>
      </c>
      <c r="H22" s="1">
        <f>L22/M22</f>
        <v/>
      </c>
      <c r="I22">
        <f>E22/1.055</f>
        <v/>
      </c>
      <c r="J22">
        <f>I22-C22</f>
        <v/>
      </c>
      <c r="K22">
        <f>J22*F22</f>
        <v/>
      </c>
      <c r="L22">
        <f>K22*100</f>
        <v/>
      </c>
      <c r="M22">
        <f>E22*F22</f>
        <v/>
      </c>
      <c r="N22">
        <f>D22/1.055</f>
        <v/>
      </c>
      <c r="O22">
        <f>N22-B22</f>
        <v/>
      </c>
      <c r="P22">
        <f>O22*F22</f>
        <v/>
      </c>
      <c r="Q22">
        <f>P22*100</f>
        <v/>
      </c>
      <c r="R22">
        <f>D22*F22</f>
        <v/>
      </c>
    </row>
    <row r="23">
      <c r="G23" s="1">
        <f>Q23/R23</f>
        <v/>
      </c>
      <c r="H23" s="1">
        <f>L23/M23</f>
        <v/>
      </c>
      <c r="I23">
        <f>E23/1.055</f>
        <v/>
      </c>
      <c r="J23">
        <f>I23-C23</f>
        <v/>
      </c>
      <c r="K23">
        <f>J23*F23</f>
        <v/>
      </c>
      <c r="L23">
        <f>K23*100</f>
        <v/>
      </c>
      <c r="M23">
        <f>E23*F23</f>
        <v/>
      </c>
      <c r="N23">
        <f>D23/1.055</f>
        <v/>
      </c>
      <c r="O23">
        <f>N23-B23</f>
        <v/>
      </c>
      <c r="P23">
        <f>O23*F23</f>
        <v/>
      </c>
      <c r="Q23">
        <f>P23*100</f>
        <v/>
      </c>
      <c r="R23">
        <f>D23*F23</f>
        <v/>
      </c>
    </row>
    <row r="24">
      <c r="G24" s="1">
        <f>Q24/R24</f>
        <v/>
      </c>
      <c r="H24" s="1">
        <f>L24/M24</f>
        <v/>
      </c>
      <c r="I24">
        <f>E24/1.055</f>
        <v/>
      </c>
      <c r="J24">
        <f>I24-C24</f>
        <v/>
      </c>
      <c r="K24">
        <f>J24*F24</f>
        <v/>
      </c>
      <c r="L24">
        <f>K24*100</f>
        <v/>
      </c>
      <c r="M24">
        <f>E24*F24</f>
        <v/>
      </c>
      <c r="N24">
        <f>D24/1.055</f>
        <v/>
      </c>
      <c r="O24">
        <f>N24-B24</f>
        <v/>
      </c>
      <c r="P24">
        <f>O24*F24</f>
        <v/>
      </c>
      <c r="Q24">
        <f>P24*100</f>
        <v/>
      </c>
      <c r="R24">
        <f>D24*F24</f>
        <v/>
      </c>
    </row>
    <row r="25">
      <c r="G25" s="1">
        <f>Q25/R25</f>
        <v/>
      </c>
      <c r="H25" s="1">
        <f>L25/M25</f>
        <v/>
      </c>
      <c r="I25">
        <f>E25/1.055</f>
        <v/>
      </c>
      <c r="J25">
        <f>I25-C25</f>
        <v/>
      </c>
      <c r="K25">
        <f>J25*F25</f>
        <v/>
      </c>
      <c r="L25">
        <f>K25*100</f>
        <v/>
      </c>
      <c r="M25">
        <f>E25*F25</f>
        <v/>
      </c>
      <c r="N25">
        <f>D25/1.055</f>
        <v/>
      </c>
      <c r="O25">
        <f>N25-B25</f>
        <v/>
      </c>
      <c r="P25">
        <f>O25*F25</f>
        <v/>
      </c>
      <c r="Q25">
        <f>P25*100</f>
        <v/>
      </c>
      <c r="R25">
        <f>D25*F25</f>
        <v/>
      </c>
    </row>
    <row r="26">
      <c r="G26" s="1">
        <f>Q26/R26</f>
        <v/>
      </c>
      <c r="H26" s="1">
        <f>L26/M26</f>
        <v/>
      </c>
      <c r="I26">
        <f>E26/1.055</f>
        <v/>
      </c>
      <c r="J26">
        <f>I26-C26</f>
        <v/>
      </c>
      <c r="K26">
        <f>J26*F26</f>
        <v/>
      </c>
      <c r="L26">
        <f>K26*100</f>
        <v/>
      </c>
      <c r="M26">
        <f>E26*F26</f>
        <v/>
      </c>
      <c r="N26">
        <f>D26/1.055</f>
        <v/>
      </c>
      <c r="O26">
        <f>N26-B26</f>
        <v/>
      </c>
      <c r="P26">
        <f>O26*F26</f>
        <v/>
      </c>
      <c r="Q26">
        <f>P26*100</f>
        <v/>
      </c>
      <c r="R26">
        <f>D26*F26</f>
        <v/>
      </c>
    </row>
    <row r="27">
      <c r="G27" s="1">
        <f>Q27/R27</f>
        <v/>
      </c>
      <c r="H27" s="1">
        <f>L27/M27</f>
        <v/>
      </c>
      <c r="I27">
        <f>E27/1.055</f>
        <v/>
      </c>
      <c r="J27">
        <f>I27-C27</f>
        <v/>
      </c>
      <c r="K27">
        <f>J27*F27</f>
        <v/>
      </c>
      <c r="L27">
        <f>K27*100</f>
        <v/>
      </c>
      <c r="M27">
        <f>E27*F27</f>
        <v/>
      </c>
      <c r="N27">
        <f>D27/1.055</f>
        <v/>
      </c>
      <c r="O27">
        <f>N27-B27</f>
        <v/>
      </c>
      <c r="P27">
        <f>O27*F27</f>
        <v/>
      </c>
      <c r="Q27">
        <f>P27*100</f>
        <v/>
      </c>
      <c r="R27">
        <f>D27*F27</f>
        <v/>
      </c>
    </row>
    <row r="28">
      <c r="G28" s="1">
        <f>Q28/R28</f>
        <v/>
      </c>
      <c r="H28" s="1">
        <f>L28/M28</f>
        <v/>
      </c>
      <c r="I28">
        <f>E28/1.055</f>
        <v/>
      </c>
      <c r="J28">
        <f>I28-C28</f>
        <v/>
      </c>
      <c r="K28">
        <f>J28*F28</f>
        <v/>
      </c>
      <c r="L28">
        <f>K28*100</f>
        <v/>
      </c>
      <c r="M28">
        <f>E28*F28</f>
        <v/>
      </c>
      <c r="N28">
        <f>D28/1.055</f>
        <v/>
      </c>
      <c r="O28">
        <f>N28-B28</f>
        <v/>
      </c>
      <c r="P28">
        <f>O28*F28</f>
        <v/>
      </c>
      <c r="Q28">
        <f>P28*100</f>
        <v/>
      </c>
      <c r="R28">
        <f>D28*F28</f>
        <v/>
      </c>
    </row>
    <row r="29">
      <c r="G29" s="1">
        <f>Q29/R29</f>
        <v/>
      </c>
      <c r="H29" s="1">
        <f>L29/M29</f>
        <v/>
      </c>
      <c r="I29">
        <f>E29/1.055</f>
        <v/>
      </c>
      <c r="J29">
        <f>I29-C29</f>
        <v/>
      </c>
      <c r="K29">
        <f>J29*F29</f>
        <v/>
      </c>
      <c r="L29">
        <f>K29*100</f>
        <v/>
      </c>
      <c r="M29">
        <f>E29*F29</f>
        <v/>
      </c>
      <c r="N29">
        <f>D29/1.055</f>
        <v/>
      </c>
      <c r="O29">
        <f>N29-B29</f>
        <v/>
      </c>
      <c r="P29">
        <f>O29*F29</f>
        <v/>
      </c>
      <c r="Q29">
        <f>P29*100</f>
        <v/>
      </c>
      <c r="R29">
        <f>D29*F29</f>
        <v/>
      </c>
    </row>
    <row r="30">
      <c r="G30" s="1">
        <f>Q30/R30</f>
        <v/>
      </c>
      <c r="H30" s="1">
        <f>L30/M30</f>
        <v/>
      </c>
      <c r="I30">
        <f>E30/1.055</f>
        <v/>
      </c>
      <c r="J30">
        <f>I30-C30</f>
        <v/>
      </c>
      <c r="K30">
        <f>J30*F30</f>
        <v/>
      </c>
      <c r="L30">
        <f>K30*100</f>
        <v/>
      </c>
      <c r="M30">
        <f>E30*F30</f>
        <v/>
      </c>
      <c r="N30">
        <f>D30/1.055</f>
        <v/>
      </c>
      <c r="O30">
        <f>N30-B30</f>
        <v/>
      </c>
      <c r="P30">
        <f>O30*F30</f>
        <v/>
      </c>
      <c r="Q30">
        <f>P30*100</f>
        <v/>
      </c>
      <c r="R30">
        <f>D30*F30</f>
        <v/>
      </c>
    </row>
    <row r="31">
      <c r="G31" s="1">
        <f>Q31/R31</f>
        <v/>
      </c>
      <c r="H31" s="1">
        <f>L31/M31</f>
        <v/>
      </c>
      <c r="I31">
        <f>E31/1.055</f>
        <v/>
      </c>
      <c r="J31">
        <f>I31-C31</f>
        <v/>
      </c>
      <c r="K31">
        <f>J31*F31</f>
        <v/>
      </c>
      <c r="L31">
        <f>K31*100</f>
        <v/>
      </c>
      <c r="M31">
        <f>E31*F31</f>
        <v/>
      </c>
      <c r="N31">
        <f>D31/1.055</f>
        <v/>
      </c>
      <c r="O31">
        <f>N31-B31</f>
        <v/>
      </c>
      <c r="P31">
        <f>O31*F31</f>
        <v/>
      </c>
      <c r="Q31">
        <f>P31*100</f>
        <v/>
      </c>
      <c r="R31">
        <f>D31*F31</f>
        <v/>
      </c>
    </row>
    <row r="32">
      <c r="G32" s="1">
        <f>Q32/R32</f>
        <v/>
      </c>
      <c r="H32" s="1">
        <f>L32/M32</f>
        <v/>
      </c>
      <c r="I32">
        <f>E32/1.055</f>
        <v/>
      </c>
      <c r="J32">
        <f>I32-C32</f>
        <v/>
      </c>
      <c r="K32">
        <f>J32*F32</f>
        <v/>
      </c>
      <c r="L32">
        <f>K32*100</f>
        <v/>
      </c>
      <c r="M32">
        <f>E32*F32</f>
        <v/>
      </c>
      <c r="N32">
        <f>D32/1.055</f>
        <v/>
      </c>
      <c r="O32">
        <f>N32-B32</f>
        <v/>
      </c>
      <c r="P32">
        <f>O32*F32</f>
        <v/>
      </c>
      <c r="Q32">
        <f>P32*100</f>
        <v/>
      </c>
      <c r="R32">
        <f>D32*F32</f>
        <v/>
      </c>
    </row>
    <row r="33">
      <c r="G33" s="1">
        <f>Q33/R33</f>
        <v/>
      </c>
      <c r="H33" s="1">
        <f>L33/M33</f>
        <v/>
      </c>
      <c r="I33">
        <f>E33/1.055</f>
        <v/>
      </c>
      <c r="J33">
        <f>I33-C33</f>
        <v/>
      </c>
      <c r="K33">
        <f>J33*F33</f>
        <v/>
      </c>
      <c r="L33">
        <f>K33*100</f>
        <v/>
      </c>
      <c r="M33">
        <f>E33*F33</f>
        <v/>
      </c>
      <c r="N33">
        <f>D33/1.055</f>
        <v/>
      </c>
      <c r="O33">
        <f>N33-B33</f>
        <v/>
      </c>
      <c r="P33">
        <f>O33*F33</f>
        <v/>
      </c>
      <c r="Q33">
        <f>P33*100</f>
        <v/>
      </c>
      <c r="R33">
        <f>D33*F33</f>
        <v/>
      </c>
    </row>
    <row r="34">
      <c r="G34" s="1">
        <f>Q34/R34</f>
        <v/>
      </c>
      <c r="H34" s="1">
        <f>L34/M34</f>
        <v/>
      </c>
      <c r="I34">
        <f>E34/1.055</f>
        <v/>
      </c>
      <c r="J34">
        <f>I34-C34</f>
        <v/>
      </c>
      <c r="K34">
        <f>J34*F34</f>
        <v/>
      </c>
      <c r="L34">
        <f>K34*100</f>
        <v/>
      </c>
      <c r="M34">
        <f>E34*F34</f>
        <v/>
      </c>
      <c r="N34">
        <f>D34/1.055</f>
        <v/>
      </c>
      <c r="O34">
        <f>N34-B34</f>
        <v/>
      </c>
      <c r="P34">
        <f>O34*F34</f>
        <v/>
      </c>
      <c r="Q34">
        <f>P34*100</f>
        <v/>
      </c>
      <c r="R34">
        <f>D34*F34</f>
        <v/>
      </c>
    </row>
    <row r="35">
      <c r="G35" s="1">
        <f>Q35/R35</f>
        <v/>
      </c>
      <c r="H35" s="1">
        <f>L35/M35</f>
        <v/>
      </c>
      <c r="I35">
        <f>E35/1.055</f>
        <v/>
      </c>
      <c r="J35">
        <f>I35-C35</f>
        <v/>
      </c>
      <c r="K35">
        <f>J35*F35</f>
        <v/>
      </c>
      <c r="L35">
        <f>K35*100</f>
        <v/>
      </c>
      <c r="M35">
        <f>E35*F35</f>
        <v/>
      </c>
      <c r="N35">
        <f>D35/1.055</f>
        <v/>
      </c>
      <c r="O35">
        <f>N35-B35</f>
        <v/>
      </c>
      <c r="P35">
        <f>O35*F35</f>
        <v/>
      </c>
      <c r="Q35">
        <f>P35*100</f>
        <v/>
      </c>
      <c r="R35">
        <f>D35*F35</f>
        <v/>
      </c>
    </row>
    <row r="36">
      <c r="G36" s="1">
        <f>Q36/R36</f>
        <v/>
      </c>
      <c r="H36" s="1">
        <f>L36/M36</f>
        <v/>
      </c>
      <c r="I36">
        <f>E36/1.055</f>
        <v/>
      </c>
      <c r="J36">
        <f>I36-C36</f>
        <v/>
      </c>
      <c r="K36">
        <f>J36*F36</f>
        <v/>
      </c>
      <c r="L36">
        <f>K36*100</f>
        <v/>
      </c>
      <c r="M36">
        <f>E36*F36</f>
        <v/>
      </c>
      <c r="N36">
        <f>D36/1.055</f>
        <v/>
      </c>
      <c r="O36">
        <f>N36-B36</f>
        <v/>
      </c>
      <c r="P36">
        <f>O36*F36</f>
        <v/>
      </c>
      <c r="Q36">
        <f>P36*100</f>
        <v/>
      </c>
      <c r="R36">
        <f>D36*F36</f>
        <v/>
      </c>
    </row>
    <row r="37">
      <c r="G37" s="1">
        <f>Q37/R37</f>
        <v/>
      </c>
      <c r="H37" s="1">
        <f>L37/M37</f>
        <v/>
      </c>
      <c r="I37">
        <f>E37/1.055</f>
        <v/>
      </c>
      <c r="J37">
        <f>I37-C37</f>
        <v/>
      </c>
      <c r="K37">
        <f>J37*F37</f>
        <v/>
      </c>
      <c r="L37">
        <f>K37*100</f>
        <v/>
      </c>
      <c r="M37">
        <f>E37*F37</f>
        <v/>
      </c>
      <c r="N37">
        <f>D37/1.055</f>
        <v/>
      </c>
      <c r="O37">
        <f>N37-B37</f>
        <v/>
      </c>
      <c r="P37">
        <f>O37*F37</f>
        <v/>
      </c>
      <c r="Q37">
        <f>P37*100</f>
        <v/>
      </c>
      <c r="R37">
        <f>D37*F37</f>
        <v/>
      </c>
    </row>
    <row r="38">
      <c r="G38" s="1">
        <f>Q38/R38</f>
        <v/>
      </c>
      <c r="H38" s="1">
        <f>L38/M38</f>
        <v/>
      </c>
      <c r="I38">
        <f>E38/1.055</f>
        <v/>
      </c>
      <c r="J38">
        <f>I38-C38</f>
        <v/>
      </c>
      <c r="K38">
        <f>J38*F38</f>
        <v/>
      </c>
      <c r="L38">
        <f>K38*100</f>
        <v/>
      </c>
      <c r="M38">
        <f>E38*F38</f>
        <v/>
      </c>
      <c r="N38">
        <f>D38/1.055</f>
        <v/>
      </c>
      <c r="O38">
        <f>N38-B38</f>
        <v/>
      </c>
      <c r="P38">
        <f>O38*F38</f>
        <v/>
      </c>
      <c r="Q38">
        <f>P38*100</f>
        <v/>
      </c>
      <c r="R38">
        <f>D38*F38</f>
        <v/>
      </c>
    </row>
    <row r="39">
      <c r="G39" s="1">
        <f>Q39/R39</f>
        <v/>
      </c>
      <c r="H39" s="1">
        <f>L39/M39</f>
        <v/>
      </c>
      <c r="I39">
        <f>E39/1.055</f>
        <v/>
      </c>
      <c r="J39">
        <f>I39-C39</f>
        <v/>
      </c>
      <c r="K39">
        <f>J39*F39</f>
        <v/>
      </c>
      <c r="L39">
        <f>K39*100</f>
        <v/>
      </c>
      <c r="M39">
        <f>E39*F39</f>
        <v/>
      </c>
      <c r="N39">
        <f>D39/1.055</f>
        <v/>
      </c>
      <c r="O39">
        <f>N39-B39</f>
        <v/>
      </c>
      <c r="P39">
        <f>O39*F39</f>
        <v/>
      </c>
      <c r="Q39">
        <f>P39*100</f>
        <v/>
      </c>
      <c r="R39">
        <f>D39*F39</f>
        <v/>
      </c>
    </row>
    <row r="40">
      <c r="G40" s="1">
        <f>Q40/R40</f>
        <v/>
      </c>
      <c r="H40" s="1">
        <f>L40/M40</f>
        <v/>
      </c>
      <c r="I40">
        <f>E40/1.055</f>
        <v/>
      </c>
      <c r="J40">
        <f>I40-C40</f>
        <v/>
      </c>
      <c r="K40">
        <f>J40*F40</f>
        <v/>
      </c>
      <c r="L40">
        <f>K40*100</f>
        <v/>
      </c>
      <c r="M40">
        <f>E40*F40</f>
        <v/>
      </c>
      <c r="N40">
        <f>D40/1.055</f>
        <v/>
      </c>
      <c r="O40">
        <f>N40-B40</f>
        <v/>
      </c>
      <c r="P40">
        <f>O40*F40</f>
        <v/>
      </c>
      <c r="Q40">
        <f>P40*100</f>
        <v/>
      </c>
      <c r="R40">
        <f>D40*F40</f>
        <v/>
      </c>
    </row>
    <row r="41">
      <c r="G41" s="1">
        <f>Q41/R41</f>
        <v/>
      </c>
      <c r="H41" s="1">
        <f>L41/M41</f>
        <v/>
      </c>
      <c r="I41">
        <f>E41/1.055</f>
        <v/>
      </c>
      <c r="J41">
        <f>I41-C41</f>
        <v/>
      </c>
      <c r="K41">
        <f>J41*F41</f>
        <v/>
      </c>
      <c r="L41">
        <f>K41*100</f>
        <v/>
      </c>
      <c r="M41">
        <f>E41*F41</f>
        <v/>
      </c>
      <c r="N41">
        <f>D41/1.055</f>
        <v/>
      </c>
      <c r="O41">
        <f>N41-B41</f>
        <v/>
      </c>
      <c r="P41">
        <f>O41*F41</f>
        <v/>
      </c>
      <c r="Q41">
        <f>P41*100</f>
        <v/>
      </c>
      <c r="R41">
        <f>D41*F41</f>
        <v/>
      </c>
    </row>
    <row r="42">
      <c r="G42" s="1">
        <f>Q42/R42</f>
        <v/>
      </c>
      <c r="H42" s="1">
        <f>L42/M42</f>
        <v/>
      </c>
      <c r="I42">
        <f>E42/1.055</f>
        <v/>
      </c>
      <c r="J42">
        <f>I42-C42</f>
        <v/>
      </c>
      <c r="K42">
        <f>J42*F42</f>
        <v/>
      </c>
      <c r="L42">
        <f>K42*100</f>
        <v/>
      </c>
      <c r="M42">
        <f>E42*F42</f>
        <v/>
      </c>
      <c r="N42">
        <f>D42/1.055</f>
        <v/>
      </c>
      <c r="O42">
        <f>N42-B42</f>
        <v/>
      </c>
      <c r="P42">
        <f>O42*F42</f>
        <v/>
      </c>
      <c r="Q42">
        <f>P42*100</f>
        <v/>
      </c>
      <c r="R42">
        <f>D42*F42</f>
        <v/>
      </c>
    </row>
    <row r="43">
      <c r="G43" s="1">
        <f>Q43/R43</f>
        <v/>
      </c>
      <c r="H43" s="1">
        <f>L43/M43</f>
        <v/>
      </c>
      <c r="I43">
        <f>E43/1.055</f>
        <v/>
      </c>
      <c r="J43">
        <f>I43-C43</f>
        <v/>
      </c>
      <c r="K43">
        <f>J43*F43</f>
        <v/>
      </c>
      <c r="L43">
        <f>K43*100</f>
        <v/>
      </c>
      <c r="M43">
        <f>E43*F43</f>
        <v/>
      </c>
      <c r="N43">
        <f>D43/1.055</f>
        <v/>
      </c>
      <c r="O43">
        <f>N43-B43</f>
        <v/>
      </c>
      <c r="P43">
        <f>O43*F43</f>
        <v/>
      </c>
      <c r="Q43">
        <f>P43*100</f>
        <v/>
      </c>
      <c r="R43">
        <f>D43*F43</f>
        <v/>
      </c>
    </row>
    <row r="44">
      <c r="G44" s="1">
        <f>Q44/R44</f>
        <v/>
      </c>
      <c r="H44" s="1">
        <f>L44/M44</f>
        <v/>
      </c>
      <c r="I44">
        <f>E44/1.055</f>
        <v/>
      </c>
      <c r="J44">
        <f>I44-C44</f>
        <v/>
      </c>
      <c r="K44">
        <f>J44*F44</f>
        <v/>
      </c>
      <c r="L44">
        <f>K44*100</f>
        <v/>
      </c>
      <c r="M44">
        <f>E44*F44</f>
        <v/>
      </c>
      <c r="N44">
        <f>D44/1.055</f>
        <v/>
      </c>
      <c r="O44">
        <f>N44-B44</f>
        <v/>
      </c>
      <c r="P44">
        <f>O44*F44</f>
        <v/>
      </c>
      <c r="Q44">
        <f>P44*100</f>
        <v/>
      </c>
      <c r="R44">
        <f>D44*F44</f>
        <v/>
      </c>
    </row>
    <row r="45">
      <c r="G45" s="1">
        <f>Q45/R45</f>
        <v/>
      </c>
      <c r="H45" s="1">
        <f>L45/M45</f>
        <v/>
      </c>
      <c r="I45">
        <f>E45/1.055</f>
        <v/>
      </c>
      <c r="J45">
        <f>I45-C45</f>
        <v/>
      </c>
      <c r="K45">
        <f>J45*F45</f>
        <v/>
      </c>
      <c r="L45">
        <f>K45*100</f>
        <v/>
      </c>
      <c r="M45">
        <f>E45*F45</f>
        <v/>
      </c>
      <c r="N45">
        <f>D45/1.055</f>
        <v/>
      </c>
      <c r="O45">
        <f>N45-B45</f>
        <v/>
      </c>
      <c r="P45">
        <f>O45*F45</f>
        <v/>
      </c>
      <c r="Q45">
        <f>P45*100</f>
        <v/>
      </c>
      <c r="R45">
        <f>D45*F45</f>
        <v/>
      </c>
    </row>
    <row r="46">
      <c r="G46" s="1">
        <f>Q46/R46</f>
        <v/>
      </c>
      <c r="H46" s="1">
        <f>L46/M46</f>
        <v/>
      </c>
      <c r="I46">
        <f>E46/1.055</f>
        <v/>
      </c>
      <c r="J46">
        <f>I46-C46</f>
        <v/>
      </c>
      <c r="K46">
        <f>J46*F46</f>
        <v/>
      </c>
      <c r="L46">
        <f>K46*100</f>
        <v/>
      </c>
      <c r="M46">
        <f>E46*F46</f>
        <v/>
      </c>
      <c r="N46">
        <f>D46/1.055</f>
        <v/>
      </c>
      <c r="O46">
        <f>N46-B46</f>
        <v/>
      </c>
      <c r="P46">
        <f>O46*F46</f>
        <v/>
      </c>
      <c r="Q46">
        <f>P46*100</f>
        <v/>
      </c>
      <c r="R46">
        <f>D46*F46</f>
        <v/>
      </c>
    </row>
    <row r="47">
      <c r="G47" s="1">
        <f>Q47/R47</f>
        <v/>
      </c>
      <c r="H47" s="1">
        <f>L47/M47</f>
        <v/>
      </c>
      <c r="I47">
        <f>E47/1.055</f>
        <v/>
      </c>
      <c r="J47">
        <f>I47-C47</f>
        <v/>
      </c>
      <c r="K47">
        <f>J47*F47</f>
        <v/>
      </c>
      <c r="L47">
        <f>K47*100</f>
        <v/>
      </c>
      <c r="M47">
        <f>E47*F47</f>
        <v/>
      </c>
      <c r="N47">
        <f>D47/1.055</f>
        <v/>
      </c>
      <c r="O47">
        <f>N47-B47</f>
        <v/>
      </c>
      <c r="P47">
        <f>O47*F47</f>
        <v/>
      </c>
      <c r="Q47">
        <f>P47*100</f>
        <v/>
      </c>
      <c r="R47">
        <f>D47*F47</f>
        <v/>
      </c>
    </row>
    <row r="48">
      <c r="G48" s="1">
        <f>Q48/R48</f>
        <v/>
      </c>
      <c r="H48" s="1">
        <f>L48/M48</f>
        <v/>
      </c>
      <c r="I48">
        <f>E48/1.055</f>
        <v/>
      </c>
      <c r="J48">
        <f>I48-C48</f>
        <v/>
      </c>
      <c r="K48">
        <f>J48*F48</f>
        <v/>
      </c>
      <c r="L48">
        <f>K48*100</f>
        <v/>
      </c>
      <c r="M48">
        <f>E48*F48</f>
        <v/>
      </c>
      <c r="N48">
        <f>D48/1.055</f>
        <v/>
      </c>
      <c r="O48">
        <f>N48-B48</f>
        <v/>
      </c>
      <c r="P48">
        <f>O48*F48</f>
        <v/>
      </c>
      <c r="Q48">
        <f>P48*100</f>
        <v/>
      </c>
      <c r="R48">
        <f>D48*F48</f>
        <v/>
      </c>
    </row>
    <row r="49">
      <c r="G49" s="1">
        <f>Q49/R49</f>
        <v/>
      </c>
      <c r="H49" s="1">
        <f>L49/M49</f>
        <v/>
      </c>
      <c r="I49">
        <f>E49/1.055</f>
        <v/>
      </c>
      <c r="J49">
        <f>I49-C49</f>
        <v/>
      </c>
      <c r="K49">
        <f>J49*F49</f>
        <v/>
      </c>
      <c r="L49">
        <f>K49*100</f>
        <v/>
      </c>
      <c r="M49">
        <f>E49*F49</f>
        <v/>
      </c>
      <c r="N49">
        <f>D49/1.055</f>
        <v/>
      </c>
      <c r="O49">
        <f>N49-B49</f>
        <v/>
      </c>
      <c r="P49">
        <f>O49*F49</f>
        <v/>
      </c>
      <c r="Q49">
        <f>P49*100</f>
        <v/>
      </c>
      <c r="R49">
        <f>D49*F49</f>
        <v/>
      </c>
    </row>
    <row r="50">
      <c r="G50" s="1">
        <f>Q50/R50</f>
        <v/>
      </c>
      <c r="H50" s="1">
        <f>L50/M50</f>
        <v/>
      </c>
      <c r="I50">
        <f>E50/1.055</f>
        <v/>
      </c>
      <c r="J50">
        <f>I50-C50</f>
        <v/>
      </c>
      <c r="K50">
        <f>J50*F50</f>
        <v/>
      </c>
      <c r="L50">
        <f>K50*100</f>
        <v/>
      </c>
      <c r="M50">
        <f>E50*F50</f>
        <v/>
      </c>
      <c r="N50">
        <f>D50/1.055</f>
        <v/>
      </c>
      <c r="O50">
        <f>N50-B50</f>
        <v/>
      </c>
      <c r="P50">
        <f>O50*F50</f>
        <v/>
      </c>
      <c r="Q50">
        <f>P50*100</f>
        <v/>
      </c>
      <c r="R50">
        <f>D50*F50</f>
        <v/>
      </c>
    </row>
    <row r="51">
      <c r="G51" s="1">
        <f>Q51/R51</f>
        <v/>
      </c>
      <c r="H51" s="1">
        <f>L51/M51</f>
        <v/>
      </c>
      <c r="I51">
        <f>E51/1.055</f>
        <v/>
      </c>
      <c r="J51">
        <f>I51-C51</f>
        <v/>
      </c>
      <c r="K51">
        <f>J51*F51</f>
        <v/>
      </c>
      <c r="L51">
        <f>K51*100</f>
        <v/>
      </c>
      <c r="M51">
        <f>E51*F51</f>
        <v/>
      </c>
      <c r="N51">
        <f>D51/1.055</f>
        <v/>
      </c>
      <c r="O51">
        <f>N51-B51</f>
        <v/>
      </c>
      <c r="P51">
        <f>O51*F51</f>
        <v/>
      </c>
      <c r="Q51">
        <f>P51*100</f>
        <v/>
      </c>
      <c r="R51">
        <f>D51*F51</f>
        <v/>
      </c>
    </row>
  </sheetData>
  <conditionalFormatting sqref="B4">
    <cfRule type="cellIs" priority="188" operator="lessThan" dxfId="0">
      <formula>$C$4</formula>
    </cfRule>
  </conditionalFormatting>
  <conditionalFormatting sqref="C4">
    <cfRule type="cellIs" priority="187" operator="lessThan" dxfId="0">
      <formula>$B$4</formula>
    </cfRule>
  </conditionalFormatting>
  <conditionalFormatting sqref="B5">
    <cfRule type="cellIs" priority="186" operator="lessThan" dxfId="0">
      <formula>$C$5</formula>
    </cfRule>
  </conditionalFormatting>
  <conditionalFormatting sqref="C5">
    <cfRule type="cellIs" priority="185" operator="lessThan" dxfId="0">
      <formula>$B$5</formula>
    </cfRule>
  </conditionalFormatting>
  <conditionalFormatting sqref="B6">
    <cfRule type="cellIs" priority="184" operator="lessThan" dxfId="0">
      <formula>$C$6</formula>
    </cfRule>
  </conditionalFormatting>
  <conditionalFormatting sqref="C6">
    <cfRule type="cellIs" priority="183" operator="lessThan" dxfId="0">
      <formula>$B$6</formula>
    </cfRule>
  </conditionalFormatting>
  <conditionalFormatting sqref="B7">
    <cfRule type="cellIs" priority="182" operator="lessThan" dxfId="0">
      <formula>$C$7</formula>
    </cfRule>
  </conditionalFormatting>
  <conditionalFormatting sqref="C7">
    <cfRule type="cellIs" priority="181" operator="lessThan" dxfId="0">
      <formula>$B$7</formula>
    </cfRule>
  </conditionalFormatting>
  <conditionalFormatting sqref="B8">
    <cfRule type="cellIs" priority="180" operator="lessThan" dxfId="0">
      <formula>$C$8</formula>
    </cfRule>
  </conditionalFormatting>
  <conditionalFormatting sqref="C8">
    <cfRule type="cellIs" priority="179" operator="lessThan" dxfId="0">
      <formula>$B$8</formula>
    </cfRule>
  </conditionalFormatting>
  <conditionalFormatting sqref="B9">
    <cfRule type="cellIs" priority="178" operator="lessThan" dxfId="0">
      <formula>$C$9</formula>
    </cfRule>
  </conditionalFormatting>
  <conditionalFormatting sqref="C9">
    <cfRule type="cellIs" priority="177" operator="lessThan" dxfId="0">
      <formula>$B$9</formula>
    </cfRule>
  </conditionalFormatting>
  <conditionalFormatting sqref="B10">
    <cfRule type="cellIs" priority="176" operator="lessThan" dxfId="0">
      <formula>$C$10</formula>
    </cfRule>
  </conditionalFormatting>
  <conditionalFormatting sqref="C10">
    <cfRule type="cellIs" priority="175" operator="lessThan" dxfId="0">
      <formula>$B$10</formula>
    </cfRule>
  </conditionalFormatting>
  <conditionalFormatting sqref="B11">
    <cfRule type="cellIs" priority="174" operator="lessThan" dxfId="0">
      <formula>$C$11</formula>
    </cfRule>
  </conditionalFormatting>
  <conditionalFormatting sqref="C11">
    <cfRule type="cellIs" priority="173" operator="lessThan" dxfId="0">
      <formula>$B$11</formula>
    </cfRule>
  </conditionalFormatting>
  <conditionalFormatting sqref="B12">
    <cfRule type="cellIs" priority="172" operator="lessThan" dxfId="0">
      <formula>$C$12</formula>
    </cfRule>
  </conditionalFormatting>
  <conditionalFormatting sqref="C12">
    <cfRule type="cellIs" priority="171" operator="lessThan" dxfId="0">
      <formula>$B$12</formula>
    </cfRule>
  </conditionalFormatting>
  <conditionalFormatting sqref="B13">
    <cfRule type="cellIs" priority="170" operator="lessThan" dxfId="0">
      <formula>$C$13</formula>
    </cfRule>
  </conditionalFormatting>
  <conditionalFormatting sqref="C13">
    <cfRule type="cellIs" priority="169" operator="lessThan" dxfId="0">
      <formula>$B$13</formula>
    </cfRule>
  </conditionalFormatting>
  <conditionalFormatting sqref="B14">
    <cfRule type="cellIs" priority="168" operator="lessThan" dxfId="0">
      <formula>$C$14</formula>
    </cfRule>
  </conditionalFormatting>
  <conditionalFormatting sqref="C14">
    <cfRule type="cellIs" priority="167" operator="lessThan" dxfId="0">
      <formula>$B$14</formula>
    </cfRule>
  </conditionalFormatting>
  <conditionalFormatting sqref="B15">
    <cfRule type="cellIs" priority="166" operator="lessThan" dxfId="0">
      <formula>$C$15</formula>
    </cfRule>
  </conditionalFormatting>
  <conditionalFormatting sqref="C15">
    <cfRule type="cellIs" priority="165" operator="lessThan" dxfId="0">
      <formula>$B$15</formula>
    </cfRule>
  </conditionalFormatting>
  <conditionalFormatting sqref="B16">
    <cfRule type="cellIs" priority="164" operator="lessThan" dxfId="0">
      <formula>$C$16</formula>
    </cfRule>
  </conditionalFormatting>
  <conditionalFormatting sqref="C16">
    <cfRule type="cellIs" priority="163" operator="lessThan" dxfId="0">
      <formula>$B$16</formula>
    </cfRule>
  </conditionalFormatting>
  <conditionalFormatting sqref="B17">
    <cfRule type="cellIs" priority="162" operator="lessThan" dxfId="0">
      <formula>$C$17</formula>
    </cfRule>
  </conditionalFormatting>
  <conditionalFormatting sqref="C17">
    <cfRule type="cellIs" priority="161" operator="lessThan" dxfId="0">
      <formula>$B$17</formula>
    </cfRule>
  </conditionalFormatting>
  <conditionalFormatting sqref="B18">
    <cfRule type="cellIs" priority="160" operator="lessThan" dxfId="0">
      <formula>$C$18</formula>
    </cfRule>
  </conditionalFormatting>
  <conditionalFormatting sqref="C18">
    <cfRule type="cellIs" priority="159" operator="lessThan" dxfId="0">
      <formula>$B$18</formula>
    </cfRule>
  </conditionalFormatting>
  <conditionalFormatting sqref="C19">
    <cfRule type="cellIs" priority="158" operator="lessThan" dxfId="0">
      <formula>$B$19</formula>
    </cfRule>
  </conditionalFormatting>
  <conditionalFormatting sqref="B19">
    <cfRule type="cellIs" priority="157" operator="lessThan" dxfId="0">
      <formula>$C$19</formula>
    </cfRule>
  </conditionalFormatting>
  <conditionalFormatting sqref="B20">
    <cfRule type="cellIs" priority="156" operator="lessThan" dxfId="0">
      <formula>$C$20</formula>
    </cfRule>
  </conditionalFormatting>
  <conditionalFormatting sqref="C20">
    <cfRule type="cellIs" priority="155" operator="lessThan" dxfId="0">
      <formula>$B$20</formula>
    </cfRule>
  </conditionalFormatting>
  <conditionalFormatting sqref="B21">
    <cfRule type="cellIs" priority="154" operator="lessThan" dxfId="0">
      <formula>$C$21</formula>
    </cfRule>
  </conditionalFormatting>
  <conditionalFormatting sqref="C21">
    <cfRule type="cellIs" priority="153" operator="lessThan" dxfId="0">
      <formula>$B$21</formula>
    </cfRule>
  </conditionalFormatting>
  <conditionalFormatting sqref="B22">
    <cfRule type="cellIs" priority="152" operator="lessThan" dxfId="0">
      <formula>$C$22</formula>
    </cfRule>
  </conditionalFormatting>
  <conditionalFormatting sqref="C22">
    <cfRule type="cellIs" priority="151" operator="lessThan" dxfId="0">
      <formula>$B$22</formula>
    </cfRule>
  </conditionalFormatting>
  <conditionalFormatting sqref="B23">
    <cfRule type="cellIs" priority="150" operator="lessThan" dxfId="0">
      <formula>$C$23</formula>
    </cfRule>
  </conditionalFormatting>
  <conditionalFormatting sqref="C23">
    <cfRule type="cellIs" priority="149" operator="lessThan" dxfId="0">
      <formula>$B$23</formula>
    </cfRule>
  </conditionalFormatting>
  <conditionalFormatting sqref="B24">
    <cfRule type="cellIs" priority="148" operator="lessThan" dxfId="0">
      <formula>$C$24</formula>
    </cfRule>
  </conditionalFormatting>
  <conditionalFormatting sqref="C24">
    <cfRule type="cellIs" priority="147" operator="lessThan" dxfId="0">
      <formula>$B$24</formula>
    </cfRule>
  </conditionalFormatting>
  <conditionalFormatting sqref="B25">
    <cfRule type="cellIs" priority="146" operator="lessThan" dxfId="0">
      <formula>$C$25</formula>
    </cfRule>
  </conditionalFormatting>
  <conditionalFormatting sqref="C25">
    <cfRule type="cellIs" priority="145" operator="lessThan" dxfId="0">
      <formula>$B$25</formula>
    </cfRule>
  </conditionalFormatting>
  <conditionalFormatting sqref="B26">
    <cfRule type="cellIs" priority="144" operator="lessThan" dxfId="0">
      <formula>$C$26</formula>
    </cfRule>
  </conditionalFormatting>
  <conditionalFormatting sqref="C26">
    <cfRule type="cellIs" priority="143" operator="lessThan" dxfId="0">
      <formula>$B$26</formula>
    </cfRule>
  </conditionalFormatting>
  <conditionalFormatting sqref="B27">
    <cfRule type="cellIs" priority="142" operator="lessThan" dxfId="0">
      <formula>$C$27</formula>
    </cfRule>
  </conditionalFormatting>
  <conditionalFormatting sqref="C27">
    <cfRule type="cellIs" priority="141" operator="lessThan" dxfId="0">
      <formula>$B$27</formula>
    </cfRule>
  </conditionalFormatting>
  <conditionalFormatting sqref="B28">
    <cfRule type="cellIs" priority="140" operator="lessThan" dxfId="0">
      <formula>$C$28</formula>
    </cfRule>
  </conditionalFormatting>
  <conditionalFormatting sqref="C28">
    <cfRule type="cellIs" priority="139" operator="lessThan" dxfId="0">
      <formula>$B$28</formula>
    </cfRule>
  </conditionalFormatting>
  <conditionalFormatting sqref="B29">
    <cfRule type="cellIs" priority="138" operator="lessThan" dxfId="0">
      <formula>$C$29</formula>
    </cfRule>
  </conditionalFormatting>
  <conditionalFormatting sqref="C29">
    <cfRule type="cellIs" priority="137" operator="lessThan" dxfId="0">
      <formula>$B$29</formula>
    </cfRule>
  </conditionalFormatting>
  <conditionalFormatting sqref="B30">
    <cfRule type="cellIs" priority="136" operator="lessThan" dxfId="0">
      <formula>$C$30</formula>
    </cfRule>
  </conditionalFormatting>
  <conditionalFormatting sqref="C30">
    <cfRule type="cellIs" priority="135" operator="lessThan" dxfId="0">
      <formula>$B$30</formula>
    </cfRule>
  </conditionalFormatting>
  <conditionalFormatting sqref="B31">
    <cfRule type="cellIs" priority="134" operator="lessThan" dxfId="0">
      <formula>$C$31</formula>
    </cfRule>
  </conditionalFormatting>
  <conditionalFormatting sqref="C31">
    <cfRule type="cellIs" priority="133" operator="lessThan" dxfId="0">
      <formula>$B$31</formula>
    </cfRule>
  </conditionalFormatting>
  <conditionalFormatting sqref="B32">
    <cfRule type="cellIs" priority="132" operator="lessThan" dxfId="0">
      <formula>$C$32</formula>
    </cfRule>
  </conditionalFormatting>
  <conditionalFormatting sqref="C32">
    <cfRule type="cellIs" priority="131" operator="lessThan" dxfId="0">
      <formula>$B$32</formula>
    </cfRule>
  </conditionalFormatting>
  <conditionalFormatting sqref="B33">
    <cfRule type="cellIs" priority="130" operator="lessThan" dxfId="0">
      <formula>$C$33</formula>
    </cfRule>
  </conditionalFormatting>
  <conditionalFormatting sqref="C33">
    <cfRule type="cellIs" priority="129" operator="lessThan" dxfId="0">
      <formula>$B$33</formula>
    </cfRule>
  </conditionalFormatting>
  <conditionalFormatting sqref="B34">
    <cfRule type="cellIs" priority="128" operator="lessThan" dxfId="0">
      <formula>$C$34</formula>
    </cfRule>
  </conditionalFormatting>
  <conditionalFormatting sqref="C34">
    <cfRule type="cellIs" priority="127" operator="lessThan" dxfId="0">
      <formula>$B$34</formula>
    </cfRule>
  </conditionalFormatting>
  <conditionalFormatting sqref="B35">
    <cfRule type="cellIs" priority="126" operator="lessThan" dxfId="0">
      <formula>$C$35</formula>
    </cfRule>
  </conditionalFormatting>
  <conditionalFormatting sqref="C35">
    <cfRule type="cellIs" priority="125" operator="lessThan" dxfId="0">
      <formula>$B$35</formula>
    </cfRule>
  </conditionalFormatting>
  <conditionalFormatting sqref="B36">
    <cfRule type="cellIs" priority="124" operator="lessThan" dxfId="0">
      <formula>$C$36</formula>
    </cfRule>
  </conditionalFormatting>
  <conditionalFormatting sqref="C36">
    <cfRule type="cellIs" priority="123" operator="lessThan" dxfId="0">
      <formula>$B$36</formula>
    </cfRule>
  </conditionalFormatting>
  <conditionalFormatting sqref="B37">
    <cfRule type="cellIs" priority="122" operator="lessThan" dxfId="0">
      <formula>$C$37</formula>
    </cfRule>
  </conditionalFormatting>
  <conditionalFormatting sqref="C37">
    <cfRule type="cellIs" priority="121" operator="lessThan" dxfId="0">
      <formula>$B$37</formula>
    </cfRule>
  </conditionalFormatting>
  <conditionalFormatting sqref="B38">
    <cfRule type="cellIs" priority="120" operator="lessThan" dxfId="0">
      <formula>$C$38</formula>
    </cfRule>
  </conditionalFormatting>
  <conditionalFormatting sqref="C38">
    <cfRule type="cellIs" priority="119" operator="lessThan" dxfId="0">
      <formula>$B$38</formula>
    </cfRule>
  </conditionalFormatting>
  <conditionalFormatting sqref="B39">
    <cfRule type="cellIs" priority="118" operator="lessThan" dxfId="0">
      <formula>$C$39</formula>
    </cfRule>
  </conditionalFormatting>
  <conditionalFormatting sqref="C39">
    <cfRule type="cellIs" priority="117" operator="lessThan" dxfId="0">
      <formula>$B$39</formula>
    </cfRule>
  </conditionalFormatting>
  <conditionalFormatting sqref="B40">
    <cfRule type="cellIs" priority="116" operator="lessThan" dxfId="0">
      <formula>$C$40</formula>
    </cfRule>
  </conditionalFormatting>
  <conditionalFormatting sqref="C40">
    <cfRule type="cellIs" priority="115" operator="lessThan" dxfId="0">
      <formula>$B$40</formula>
    </cfRule>
  </conditionalFormatting>
  <conditionalFormatting sqref="B41">
    <cfRule type="cellIs" priority="114" operator="lessThan" dxfId="0">
      <formula>$C$41</formula>
    </cfRule>
  </conditionalFormatting>
  <conditionalFormatting sqref="C41">
    <cfRule type="cellIs" priority="113" operator="lessThan" dxfId="0">
      <formula>$B$41</formula>
    </cfRule>
  </conditionalFormatting>
  <conditionalFormatting sqref="B42">
    <cfRule type="cellIs" priority="112" operator="lessThan" dxfId="0">
      <formula>$C$42</formula>
    </cfRule>
  </conditionalFormatting>
  <conditionalFormatting sqref="C42">
    <cfRule type="cellIs" priority="111" operator="lessThan" dxfId="0">
      <formula>$B$42</formula>
    </cfRule>
  </conditionalFormatting>
  <conditionalFormatting sqref="B43">
    <cfRule type="cellIs" priority="110" operator="lessThan" dxfId="0">
      <formula>$C$43</formula>
    </cfRule>
  </conditionalFormatting>
  <conditionalFormatting sqref="C43">
    <cfRule type="cellIs" priority="109" operator="lessThan" dxfId="0">
      <formula>$B$43</formula>
    </cfRule>
  </conditionalFormatting>
  <conditionalFormatting sqref="B44">
    <cfRule type="cellIs" priority="108" operator="lessThan" dxfId="0">
      <formula>$C$44</formula>
    </cfRule>
  </conditionalFormatting>
  <conditionalFormatting sqref="C44">
    <cfRule type="cellIs" priority="107" operator="lessThan" dxfId="0">
      <formula>$B$44</formula>
    </cfRule>
  </conditionalFormatting>
  <conditionalFormatting sqref="B45">
    <cfRule type="cellIs" priority="106" operator="lessThan" dxfId="0">
      <formula>$C$45</formula>
    </cfRule>
  </conditionalFormatting>
  <conditionalFormatting sqref="C45">
    <cfRule type="cellIs" priority="105" operator="lessThan" dxfId="0">
      <formula>$B$45</formula>
    </cfRule>
  </conditionalFormatting>
  <conditionalFormatting sqref="B46">
    <cfRule type="cellIs" priority="104" operator="lessThan" dxfId="0">
      <formula>$C$46</formula>
    </cfRule>
  </conditionalFormatting>
  <conditionalFormatting sqref="C46">
    <cfRule type="cellIs" priority="103" operator="lessThan" dxfId="0">
      <formula>$B$46</formula>
    </cfRule>
  </conditionalFormatting>
  <conditionalFormatting sqref="B47">
    <cfRule type="cellIs" priority="102" operator="lessThan" dxfId="0">
      <formula>$C$47</formula>
    </cfRule>
  </conditionalFormatting>
  <conditionalFormatting sqref="C47">
    <cfRule type="cellIs" priority="101" operator="lessThan" dxfId="0">
      <formula>$B$47</formula>
    </cfRule>
  </conditionalFormatting>
  <conditionalFormatting sqref="B48">
    <cfRule type="cellIs" priority="100" operator="lessThan" dxfId="0">
      <formula>$C$48</formula>
    </cfRule>
  </conditionalFormatting>
  <conditionalFormatting sqref="C48">
    <cfRule type="cellIs" priority="99" operator="lessThan" dxfId="0">
      <formula>$B$48</formula>
    </cfRule>
  </conditionalFormatting>
  <conditionalFormatting sqref="B49">
    <cfRule type="cellIs" priority="98" operator="lessThan" dxfId="0">
      <formula>$C$49</formula>
    </cfRule>
  </conditionalFormatting>
  <conditionalFormatting sqref="C49">
    <cfRule type="cellIs" priority="97" operator="lessThan" dxfId="0">
      <formula>$B$49</formula>
    </cfRule>
  </conditionalFormatting>
  <conditionalFormatting sqref="B50">
    <cfRule type="cellIs" priority="96" operator="lessThan" dxfId="0">
      <formula>$C$50</formula>
    </cfRule>
  </conditionalFormatting>
  <conditionalFormatting sqref="C50">
    <cfRule type="cellIs" priority="95" operator="lessThan" dxfId="0">
      <formula>$B$50</formula>
    </cfRule>
  </conditionalFormatting>
  <conditionalFormatting sqref="D4">
    <cfRule type="cellIs" priority="94" operator="lessThan" dxfId="0">
      <formula>$E$4</formula>
    </cfRule>
  </conditionalFormatting>
  <conditionalFormatting sqref="E4">
    <cfRule type="cellIs" priority="93" operator="lessThan" dxfId="0">
      <formula>$D$4</formula>
    </cfRule>
  </conditionalFormatting>
  <conditionalFormatting sqref="D5">
    <cfRule type="cellIs" priority="92" operator="lessThan" dxfId="0">
      <formula>$E$5</formula>
    </cfRule>
  </conditionalFormatting>
  <conditionalFormatting sqref="E5">
    <cfRule type="cellIs" priority="91" operator="lessThan" dxfId="0">
      <formula>$D$5</formula>
    </cfRule>
  </conditionalFormatting>
  <conditionalFormatting sqref="D6">
    <cfRule type="cellIs" priority="90" operator="lessThan" dxfId="0">
      <formula>$E$6</formula>
    </cfRule>
  </conditionalFormatting>
  <conditionalFormatting sqref="E6">
    <cfRule type="cellIs" priority="89" operator="lessThan" dxfId="0">
      <formula>$D$6</formula>
    </cfRule>
  </conditionalFormatting>
  <conditionalFormatting sqref="D7">
    <cfRule type="cellIs" priority="88" operator="lessThan" dxfId="0">
      <formula>$E$7</formula>
    </cfRule>
  </conditionalFormatting>
  <conditionalFormatting sqref="E7">
    <cfRule type="cellIs" priority="87" operator="lessThan" dxfId="0">
      <formula>$D$7</formula>
    </cfRule>
  </conditionalFormatting>
  <conditionalFormatting sqref="D8">
    <cfRule type="cellIs" priority="86" operator="lessThan" dxfId="0">
      <formula>$E$8</formula>
    </cfRule>
  </conditionalFormatting>
  <conditionalFormatting sqref="E8">
    <cfRule type="cellIs" priority="85" operator="lessThan" dxfId="0">
      <formula>$D$8</formula>
    </cfRule>
  </conditionalFormatting>
  <conditionalFormatting sqref="D9">
    <cfRule type="cellIs" priority="84" operator="lessThan" dxfId="0">
      <formula>$E$9</formula>
    </cfRule>
  </conditionalFormatting>
  <conditionalFormatting sqref="E9">
    <cfRule type="cellIs" priority="83" operator="lessThan" dxfId="0">
      <formula>$D$9</formula>
    </cfRule>
  </conditionalFormatting>
  <conditionalFormatting sqref="D10">
    <cfRule type="cellIs" priority="82" operator="lessThan" dxfId="0">
      <formula>$E$10</formula>
    </cfRule>
  </conditionalFormatting>
  <conditionalFormatting sqref="E10">
    <cfRule type="cellIs" priority="81" operator="lessThan" dxfId="0">
      <formula>$D$10</formula>
    </cfRule>
  </conditionalFormatting>
  <conditionalFormatting sqref="D11">
    <cfRule type="cellIs" priority="80" operator="lessThan" dxfId="0">
      <formula>$E$11</formula>
    </cfRule>
  </conditionalFormatting>
  <conditionalFormatting sqref="E11">
    <cfRule type="cellIs" priority="79" operator="lessThan" dxfId="0">
      <formula>$D$11</formula>
    </cfRule>
  </conditionalFormatting>
  <conditionalFormatting sqref="D12">
    <cfRule type="cellIs" priority="78" operator="lessThan" dxfId="0">
      <formula>$E$12</formula>
    </cfRule>
  </conditionalFormatting>
  <conditionalFormatting sqref="E12">
    <cfRule type="cellIs" priority="77" operator="lessThan" dxfId="0">
      <formula>$D$12</formula>
    </cfRule>
  </conditionalFormatting>
  <conditionalFormatting sqref="D13">
    <cfRule type="cellIs" priority="76" operator="lessThan" dxfId="0">
      <formula>$E$13</formula>
    </cfRule>
  </conditionalFormatting>
  <conditionalFormatting sqref="E13">
    <cfRule type="cellIs" priority="75" operator="lessThan" dxfId="0">
      <formula>$D$13</formula>
    </cfRule>
  </conditionalFormatting>
  <conditionalFormatting sqref="D14">
    <cfRule type="cellIs" priority="74" operator="lessThan" dxfId="0">
      <formula>$E$14</formula>
    </cfRule>
  </conditionalFormatting>
  <conditionalFormatting sqref="E14">
    <cfRule type="cellIs" priority="73" operator="lessThan" dxfId="0">
      <formula>$D$14</formula>
    </cfRule>
  </conditionalFormatting>
  <conditionalFormatting sqref="D15">
    <cfRule type="cellIs" priority="72" operator="lessThan" dxfId="0">
      <formula>$E$15</formula>
    </cfRule>
  </conditionalFormatting>
  <conditionalFormatting sqref="E15">
    <cfRule type="cellIs" priority="71" operator="lessThan" dxfId="0">
      <formula>$D$15</formula>
    </cfRule>
  </conditionalFormatting>
  <conditionalFormatting sqref="D16">
    <cfRule type="cellIs" priority="70" operator="lessThan" dxfId="0">
      <formula>$E$16</formula>
    </cfRule>
  </conditionalFormatting>
  <conditionalFormatting sqref="E16">
    <cfRule type="cellIs" priority="69" operator="lessThan" dxfId="0">
      <formula>$D$16</formula>
    </cfRule>
  </conditionalFormatting>
  <conditionalFormatting sqref="D17">
    <cfRule type="cellIs" priority="68" operator="lessThan" dxfId="0">
      <formula>$E$17</formula>
    </cfRule>
  </conditionalFormatting>
  <conditionalFormatting sqref="E17">
    <cfRule type="cellIs" priority="67" operator="lessThan" dxfId="0">
      <formula>$D$17</formula>
    </cfRule>
  </conditionalFormatting>
  <conditionalFormatting sqref="D18">
    <cfRule type="cellIs" priority="66" operator="lessThan" dxfId="0">
      <formula>$E$18</formula>
    </cfRule>
  </conditionalFormatting>
  <conditionalFormatting sqref="E18">
    <cfRule type="cellIs" priority="65" operator="lessThan" dxfId="0">
      <formula>$D$18</formula>
    </cfRule>
  </conditionalFormatting>
  <conditionalFormatting sqref="D19">
    <cfRule type="cellIs" priority="64" operator="lessThan" dxfId="0">
      <formula>$E$19</formula>
    </cfRule>
  </conditionalFormatting>
  <conditionalFormatting sqref="E19">
    <cfRule type="cellIs" priority="63" operator="lessThan" dxfId="0">
      <formula>$D$19</formula>
    </cfRule>
  </conditionalFormatting>
  <conditionalFormatting sqref="D20">
    <cfRule type="cellIs" priority="62" operator="lessThan" dxfId="0">
      <formula>$E$20</formula>
    </cfRule>
  </conditionalFormatting>
  <conditionalFormatting sqref="E20">
    <cfRule type="cellIs" priority="61" operator="lessThan" dxfId="0">
      <formula>$D$20</formula>
    </cfRule>
  </conditionalFormatting>
  <conditionalFormatting sqref="D21">
    <cfRule type="cellIs" priority="60" operator="lessThan" dxfId="0">
      <formula>$E$21</formula>
    </cfRule>
  </conditionalFormatting>
  <conditionalFormatting sqref="E21">
    <cfRule type="cellIs" priority="59" operator="lessThan" dxfId="0">
      <formula>$D$21</formula>
    </cfRule>
  </conditionalFormatting>
  <conditionalFormatting sqref="D22">
    <cfRule type="cellIs" priority="58" operator="lessThan" dxfId="0">
      <formula>$E$22</formula>
    </cfRule>
  </conditionalFormatting>
  <conditionalFormatting sqref="E22">
    <cfRule type="cellIs" priority="57" operator="lessThan" dxfId="0">
      <formula>$D$22</formula>
    </cfRule>
  </conditionalFormatting>
  <conditionalFormatting sqref="D23">
    <cfRule type="cellIs" priority="56" operator="lessThan" dxfId="0">
      <formula>$E$23</formula>
    </cfRule>
  </conditionalFormatting>
  <conditionalFormatting sqref="E23">
    <cfRule type="cellIs" priority="55" operator="lessThan" dxfId="0">
      <formula>$D$23</formula>
    </cfRule>
  </conditionalFormatting>
  <conditionalFormatting sqref="D24">
    <cfRule type="cellIs" priority="54" operator="lessThan" dxfId="0">
      <formula>$E$24</formula>
    </cfRule>
  </conditionalFormatting>
  <conditionalFormatting sqref="E24">
    <cfRule type="cellIs" priority="53" operator="lessThan" dxfId="0">
      <formula>$D$24</formula>
    </cfRule>
  </conditionalFormatting>
  <conditionalFormatting sqref="D25">
    <cfRule type="cellIs" priority="52" operator="lessThan" dxfId="0">
      <formula>$E$25</formula>
    </cfRule>
  </conditionalFormatting>
  <conditionalFormatting sqref="E25">
    <cfRule type="cellIs" priority="51" operator="lessThan" dxfId="0">
      <formula>$D$25</formula>
    </cfRule>
  </conditionalFormatting>
  <conditionalFormatting sqref="D26">
    <cfRule type="cellIs" priority="50" operator="lessThan" dxfId="0">
      <formula>$E$26</formula>
    </cfRule>
  </conditionalFormatting>
  <conditionalFormatting sqref="E26">
    <cfRule type="cellIs" priority="49" operator="lessThan" dxfId="0">
      <formula>$D$26</formula>
    </cfRule>
  </conditionalFormatting>
  <conditionalFormatting sqref="D27">
    <cfRule type="cellIs" priority="48" operator="lessThan" dxfId="0">
      <formula>$E$27</formula>
    </cfRule>
  </conditionalFormatting>
  <conditionalFormatting sqref="E27">
    <cfRule type="cellIs" priority="47" operator="lessThan" dxfId="0">
      <formula>$D$27</formula>
    </cfRule>
  </conditionalFormatting>
  <conditionalFormatting sqref="D28">
    <cfRule type="cellIs" priority="46" operator="lessThan" dxfId="0">
      <formula>$E$28</formula>
    </cfRule>
  </conditionalFormatting>
  <conditionalFormatting sqref="E28">
    <cfRule type="cellIs" priority="45" operator="lessThan" dxfId="0">
      <formula>$D$28</formula>
    </cfRule>
  </conditionalFormatting>
  <conditionalFormatting sqref="D29">
    <cfRule type="cellIs" priority="44" operator="lessThan" dxfId="0">
      <formula>$E$29</formula>
    </cfRule>
  </conditionalFormatting>
  <conditionalFormatting sqref="E29">
    <cfRule type="cellIs" priority="43" operator="lessThan" dxfId="0">
      <formula>$D$29</formula>
    </cfRule>
  </conditionalFormatting>
  <conditionalFormatting sqref="D30">
    <cfRule type="cellIs" priority="42" operator="lessThan" dxfId="0">
      <formula>$E$30</formula>
    </cfRule>
  </conditionalFormatting>
  <conditionalFormatting sqref="E30">
    <cfRule type="cellIs" priority="41" operator="lessThan" dxfId="0">
      <formula>$D$30</formula>
    </cfRule>
  </conditionalFormatting>
  <conditionalFormatting sqref="D31">
    <cfRule type="cellIs" priority="40" operator="lessThan" dxfId="0">
      <formula>$E$31</formula>
    </cfRule>
  </conditionalFormatting>
  <conditionalFormatting sqref="E31">
    <cfRule type="cellIs" priority="39" operator="lessThan" dxfId="0">
      <formula>$D$31</formula>
    </cfRule>
  </conditionalFormatting>
  <conditionalFormatting sqref="D32">
    <cfRule type="cellIs" priority="38" operator="lessThan" dxfId="0">
      <formula>$E$32</formula>
    </cfRule>
  </conditionalFormatting>
  <conditionalFormatting sqref="E32">
    <cfRule type="cellIs" priority="37" operator="lessThan" dxfId="0">
      <formula>$D$32</formula>
    </cfRule>
  </conditionalFormatting>
  <conditionalFormatting sqref="D33">
    <cfRule type="cellIs" priority="36" operator="lessThan" dxfId="0">
      <formula>$E$33</formula>
    </cfRule>
  </conditionalFormatting>
  <conditionalFormatting sqref="E33">
    <cfRule type="cellIs" priority="35" operator="lessThan" dxfId="0">
      <formula>$D$33</formula>
    </cfRule>
  </conditionalFormatting>
  <conditionalFormatting sqref="D34">
    <cfRule type="cellIs" priority="34" operator="lessThan" dxfId="0">
      <formula>$E$34</formula>
    </cfRule>
  </conditionalFormatting>
  <conditionalFormatting sqref="E34">
    <cfRule type="cellIs" priority="33" operator="lessThan" dxfId="0">
      <formula>$D$34</formula>
    </cfRule>
  </conditionalFormatting>
  <conditionalFormatting sqref="D35">
    <cfRule type="cellIs" priority="32" operator="lessThan" dxfId="0">
      <formula>$E$35</formula>
    </cfRule>
  </conditionalFormatting>
  <conditionalFormatting sqref="E35">
    <cfRule type="cellIs" priority="31" operator="lessThan" dxfId="0">
      <formula>$D$35</formula>
    </cfRule>
  </conditionalFormatting>
  <conditionalFormatting sqref="D36">
    <cfRule type="cellIs" priority="30" operator="lessThan" dxfId="0">
      <formula>$E$36</formula>
    </cfRule>
  </conditionalFormatting>
  <conditionalFormatting sqref="E36">
    <cfRule type="cellIs" priority="29" operator="lessThan" dxfId="0">
      <formula>$D$36</formula>
    </cfRule>
  </conditionalFormatting>
  <conditionalFormatting sqref="D37">
    <cfRule type="cellIs" priority="28" operator="lessThan" dxfId="0">
      <formula>$E$37</formula>
    </cfRule>
  </conditionalFormatting>
  <conditionalFormatting sqref="E37">
    <cfRule type="cellIs" priority="27" operator="lessThan" dxfId="0">
      <formula>$D$37</formula>
    </cfRule>
  </conditionalFormatting>
  <conditionalFormatting sqref="D38">
    <cfRule type="cellIs" priority="26" operator="lessThan" dxfId="0">
      <formula>$E$38</formula>
    </cfRule>
  </conditionalFormatting>
  <conditionalFormatting sqref="E38">
    <cfRule type="cellIs" priority="25" operator="lessThan" dxfId="0">
      <formula>$D$38</formula>
    </cfRule>
  </conditionalFormatting>
  <conditionalFormatting sqref="D39">
    <cfRule type="cellIs" priority="24" operator="lessThan" dxfId="0">
      <formula>$E$39</formula>
    </cfRule>
  </conditionalFormatting>
  <conditionalFormatting sqref="E39">
    <cfRule type="cellIs" priority="23" operator="lessThan" dxfId="0">
      <formula>$D$39</formula>
    </cfRule>
  </conditionalFormatting>
  <conditionalFormatting sqref="D40">
    <cfRule type="cellIs" priority="22" operator="lessThan" dxfId="0">
      <formula>$E$40</formula>
    </cfRule>
  </conditionalFormatting>
  <conditionalFormatting sqref="E40">
    <cfRule type="cellIs" priority="21" operator="lessThan" dxfId="0">
      <formula>$D$40</formula>
    </cfRule>
  </conditionalFormatting>
  <conditionalFormatting sqref="D41">
    <cfRule type="cellIs" priority="20" operator="lessThan" dxfId="0">
      <formula>$E$41</formula>
    </cfRule>
  </conditionalFormatting>
  <conditionalFormatting sqref="E41">
    <cfRule type="cellIs" priority="19" operator="lessThan" dxfId="0">
      <formula>$D$41</formula>
    </cfRule>
  </conditionalFormatting>
  <conditionalFormatting sqref="D42">
    <cfRule type="cellIs" priority="18" operator="lessThan" dxfId="0">
      <formula>$E$42</formula>
    </cfRule>
  </conditionalFormatting>
  <conditionalFormatting sqref="E42">
    <cfRule type="cellIs" priority="17" operator="lessThan" dxfId="0">
      <formula>$D$42</formula>
    </cfRule>
  </conditionalFormatting>
  <conditionalFormatting sqref="D43">
    <cfRule type="cellIs" priority="16" operator="lessThan" dxfId="0">
      <formula>$E$43</formula>
    </cfRule>
  </conditionalFormatting>
  <conditionalFormatting sqref="E43">
    <cfRule type="cellIs" priority="15" operator="lessThan" dxfId="0">
      <formula>$D$43</formula>
    </cfRule>
  </conditionalFormatting>
  <conditionalFormatting sqref="D44">
    <cfRule type="cellIs" priority="14" operator="lessThan" dxfId="0">
      <formula>$E$44</formula>
    </cfRule>
  </conditionalFormatting>
  <conditionalFormatting sqref="E44">
    <cfRule type="cellIs" priority="13" operator="lessThan" dxfId="0">
      <formula>$D$44</formula>
    </cfRule>
  </conditionalFormatting>
  <conditionalFormatting sqref="D45">
    <cfRule type="cellIs" priority="12" operator="lessThan" dxfId="0">
      <formula>$E$45</formula>
    </cfRule>
  </conditionalFormatting>
  <conditionalFormatting sqref="E45">
    <cfRule type="cellIs" priority="11" operator="lessThan" dxfId="0">
      <formula>$D$45</formula>
    </cfRule>
  </conditionalFormatting>
  <conditionalFormatting sqref="D46">
    <cfRule type="cellIs" priority="10" operator="lessThan" dxfId="0">
      <formula>$E$46</formula>
    </cfRule>
  </conditionalFormatting>
  <conditionalFormatting sqref="E46">
    <cfRule type="cellIs" priority="9" operator="lessThan" dxfId="0">
      <formula>$D$46</formula>
    </cfRule>
  </conditionalFormatting>
  <conditionalFormatting sqref="D47">
    <cfRule type="cellIs" priority="8" operator="lessThan" dxfId="0">
      <formula>$E$47</formula>
    </cfRule>
  </conditionalFormatting>
  <conditionalFormatting sqref="E47">
    <cfRule type="cellIs" priority="7" operator="lessThan" dxfId="0">
      <formula>$D$47</formula>
    </cfRule>
  </conditionalFormatting>
  <conditionalFormatting sqref="D48">
    <cfRule type="cellIs" priority="6" operator="lessThan" dxfId="0">
      <formula>$E$48</formula>
    </cfRule>
  </conditionalFormatting>
  <conditionalFormatting sqref="E48">
    <cfRule type="cellIs" priority="5" operator="lessThan" dxfId="0">
      <formula>$D$48</formula>
    </cfRule>
  </conditionalFormatting>
  <conditionalFormatting sqref="D49">
    <cfRule type="cellIs" priority="4" operator="lessThan" dxfId="0">
      <formula>$E$49</formula>
    </cfRule>
  </conditionalFormatting>
  <conditionalFormatting sqref="E49">
    <cfRule type="cellIs" priority="3" operator="lessThan" dxfId="0">
      <formula>$D$49</formula>
    </cfRule>
  </conditionalFormatting>
  <conditionalFormatting sqref="D50">
    <cfRule type="cellIs" priority="2" operator="lessThan" dxfId="0">
      <formula>$E$50</formula>
    </cfRule>
  </conditionalFormatting>
  <conditionalFormatting sqref="E50">
    <cfRule type="cellIs" priority="1" operator="lessThan" dxfId="0">
      <formula>$D$50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***</dc:creator>
  <dcterms:created xmlns:dcterms="http://purl.org/dc/terms/" xmlns:xsi="http://www.w3.org/2001/XMLSchema-instance" xsi:type="dcterms:W3CDTF">2026-09-01T08:01:24Z</dcterms:created>
  <dcterms:modified xmlns:dcterms="http://purl.org/dc/terms/" xmlns:xsi="http://www.w3.org/2001/XMLSchema-instance" xsi:type="dcterms:W3CDTF">2026-09-18T08:40:11Z</dcterms:modified>
  <cp:lastModifiedBy>***</cp:lastModifiedBy>
</cp:coreProperties>
</file>