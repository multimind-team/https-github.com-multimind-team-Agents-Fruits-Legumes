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ierge" sheetId="1" state="visible" r:id="rId1"/>
    <sheet xmlns:r="http://schemas.openxmlformats.org/officeDocument/2006/relationships" name="07" sheetId="2" state="visible" r:id="rId2"/>
    <sheet xmlns:r="http://schemas.openxmlformats.org/officeDocument/2006/relationships" name="08" sheetId="3" state="visible" r:id="rId3"/>
    <sheet xmlns:r="http://schemas.openxmlformats.org/officeDocument/2006/relationships" name="09" sheetId="4" state="visible" r:id="rId4"/>
  </sheets>
  <definedNames/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2" fontId="0" fillId="0" borderId="0" applyAlignment="1" pivotButton="0" quotePrefix="0" xfId="0">
      <alignment horizontal="general" vertical="bottom"/>
    </xf>
    <xf numFmtId="2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9" activeCellId="0" sqref="E19"/>
    </sheetView>
  </sheetViews>
  <sheetFormatPr baseColWidth="8" defaultColWidth="10.6796875" defaultRowHeight="15" customHeight="0" zeroHeight="0" outlineLevelRow="0"/>
  <sheetData>
    <row r="1" ht="15" customHeight="1" s="6">
      <c r="A1" s="7" t="n"/>
      <c r="B1" s="8">
        <f>AVERAGE(B4:B38)</f>
        <v/>
      </c>
      <c r="C1" s="8">
        <f>AVERAGE(C4:C30)</f>
        <v/>
      </c>
      <c r="D1" s="8">
        <f>AVERAGE(D4:D60)</f>
        <v/>
      </c>
      <c r="E1" s="8">
        <f>AVERAGE(E4:E60)</f>
        <v/>
      </c>
      <c r="F1" s="7">
        <f>SUM(F4:F50)</f>
        <v/>
      </c>
      <c r="G1" s="7">
        <f>D1-E1</f>
        <v/>
      </c>
    </row>
    <row r="2" ht="15" customHeight="1" s="6">
      <c r="A2" s="9" t="inlineStr">
        <is>
          <t>Produit</t>
        </is>
      </c>
      <c r="B2" s="9" t="inlineStr">
        <is>
          <t>PA base</t>
        </is>
      </c>
      <c r="C2" s="9" t="inlineStr">
        <is>
          <t>PA direct</t>
        </is>
      </c>
      <c r="D2" s="9" t="inlineStr">
        <is>
          <t>PV préco base</t>
        </is>
      </c>
      <c r="E2" s="9" t="inlineStr">
        <is>
          <t>PV magasin</t>
        </is>
      </c>
      <c r="F2" s="9" t="inlineStr">
        <is>
          <t>Quantité</t>
        </is>
      </c>
      <c r="G2" s="10" t="inlineStr">
        <is>
          <t>Marge servi base</t>
        </is>
      </c>
      <c r="H2" s="10" t="inlineStr">
        <is>
          <t>Marge servi direct</t>
        </is>
      </c>
      <c r="I2" s="11" t="inlineStr">
        <is>
          <t>Marge servi Direct</t>
        </is>
      </c>
      <c r="J2" s="11" t="n"/>
      <c r="K2" s="11" t="n"/>
      <c r="L2" s="11" t="n"/>
      <c r="M2" s="11" t="n"/>
      <c r="N2" s="11" t="inlineStr">
        <is>
          <t>Marge servi base</t>
        </is>
      </c>
      <c r="O2" s="11" t="n"/>
      <c r="P2" s="11" t="n"/>
      <c r="Q2" s="11" t="n"/>
      <c r="R2" s="11" t="n"/>
    </row>
    <row r="3" ht="15" customHeight="1" s="6">
      <c r="G3" s="8">
        <f>Q3/R3</f>
        <v/>
      </c>
      <c r="H3" s="8">
        <f>L3/M3</f>
        <v/>
      </c>
      <c r="I3" s="11">
        <f>SUM(I4:I50)</f>
        <v/>
      </c>
      <c r="J3" s="11">
        <f>SUM(J4:J50)</f>
        <v/>
      </c>
      <c r="K3" s="11">
        <f>SUM(K4:K50)</f>
        <v/>
      </c>
      <c r="L3" s="11">
        <f>SUM(L4:L50)</f>
        <v/>
      </c>
      <c r="M3" s="11">
        <f>SUM(M4:M50)</f>
        <v/>
      </c>
      <c r="N3" s="11">
        <f>SUM(N4:N50)</f>
        <v/>
      </c>
      <c r="O3" s="11">
        <f>SUM(O4:O50)</f>
        <v/>
      </c>
      <c r="P3" s="11">
        <f>SUM(P4:P50)</f>
        <v/>
      </c>
      <c r="Q3" s="11">
        <f>SUM(Q4:Q50)</f>
        <v/>
      </c>
      <c r="R3" s="11">
        <f>SUM(R4:R50)</f>
        <v/>
      </c>
    </row>
    <row r="4" ht="15" customHeight="1" s="6">
      <c r="G4" s="7">
        <f>Q4/R4</f>
        <v/>
      </c>
      <c r="H4" s="7">
        <f>L4/M4</f>
        <v/>
      </c>
      <c r="I4" s="9">
        <f>E4/1.055</f>
        <v/>
      </c>
      <c r="J4" s="9">
        <f>I4-C4</f>
        <v/>
      </c>
      <c r="K4" s="9">
        <f>J4*F4</f>
        <v/>
      </c>
      <c r="L4" s="9">
        <f>K4*100</f>
        <v/>
      </c>
      <c r="M4" s="9">
        <f>E4*F4</f>
        <v/>
      </c>
      <c r="N4" s="9">
        <f>D4/1.055</f>
        <v/>
      </c>
      <c r="O4" s="9">
        <f>N4-B4</f>
        <v/>
      </c>
      <c r="P4" s="9">
        <f>O4*F4</f>
        <v/>
      </c>
      <c r="Q4" s="9">
        <f>P4*100</f>
        <v/>
      </c>
      <c r="R4" s="9">
        <f>D4*F4</f>
        <v/>
      </c>
    </row>
    <row r="5" ht="15" customHeight="1" s="6">
      <c r="G5" s="7">
        <f>Q5/R5</f>
        <v/>
      </c>
      <c r="H5" s="7">
        <f>L5/M5</f>
        <v/>
      </c>
      <c r="I5" s="9">
        <f>E5/1.055</f>
        <v/>
      </c>
      <c r="J5" s="9">
        <f>I5-C5</f>
        <v/>
      </c>
      <c r="K5" s="9">
        <f>J5*F5</f>
        <v/>
      </c>
      <c r="L5" s="9">
        <f>K5*100</f>
        <v/>
      </c>
      <c r="M5" s="9">
        <f>E5*F5</f>
        <v/>
      </c>
      <c r="N5" s="9">
        <f>D5/1.055</f>
        <v/>
      </c>
      <c r="O5" s="9">
        <f>N5-B5</f>
        <v/>
      </c>
      <c r="P5" s="9">
        <f>O5*F5</f>
        <v/>
      </c>
      <c r="Q5" s="9">
        <f>P5*100</f>
        <v/>
      </c>
      <c r="R5" s="9">
        <f>D5*F5</f>
        <v/>
      </c>
    </row>
    <row r="6" ht="15" customHeight="1" s="6">
      <c r="G6" s="7">
        <f>Q6/R6</f>
        <v/>
      </c>
      <c r="H6" s="7">
        <f>L6/M6</f>
        <v/>
      </c>
      <c r="I6" s="9">
        <f>E6/1.055</f>
        <v/>
      </c>
      <c r="J6" s="9">
        <f>I6-C6</f>
        <v/>
      </c>
      <c r="K6" s="9">
        <f>J6*F6</f>
        <v/>
      </c>
      <c r="L6" s="9">
        <f>K6*100</f>
        <v/>
      </c>
      <c r="M6" s="9">
        <f>E6*F6</f>
        <v/>
      </c>
      <c r="N6" s="9">
        <f>D6/1.055</f>
        <v/>
      </c>
      <c r="O6" s="9">
        <f>N6-B6</f>
        <v/>
      </c>
      <c r="P6" s="9">
        <f>O6*F6</f>
        <v/>
      </c>
      <c r="Q6" s="9">
        <f>P6*100</f>
        <v/>
      </c>
      <c r="R6" s="9">
        <f>D6*F6</f>
        <v/>
      </c>
    </row>
    <row r="7" ht="15" customHeight="1" s="6">
      <c r="G7" s="7">
        <f>Q7/R7</f>
        <v/>
      </c>
      <c r="H7" s="7">
        <f>L7/M7</f>
        <v/>
      </c>
      <c r="I7" s="9">
        <f>E7/1.055</f>
        <v/>
      </c>
      <c r="J7" s="9">
        <f>I7-C7</f>
        <v/>
      </c>
      <c r="K7" s="9">
        <f>J7*F7</f>
        <v/>
      </c>
      <c r="L7" s="9">
        <f>K7*100</f>
        <v/>
      </c>
      <c r="M7" s="9">
        <f>E7*F7</f>
        <v/>
      </c>
      <c r="N7" s="9">
        <f>D7/1.055</f>
        <v/>
      </c>
      <c r="O7" s="9">
        <f>N7-B7</f>
        <v/>
      </c>
      <c r="P7" s="9">
        <f>O7*F7</f>
        <v/>
      </c>
      <c r="Q7" s="9">
        <f>P7*100</f>
        <v/>
      </c>
      <c r="R7" s="9">
        <f>D7*F7</f>
        <v/>
      </c>
    </row>
    <row r="8" ht="15" customHeight="1" s="6">
      <c r="G8" s="7">
        <f>Q8/R8</f>
        <v/>
      </c>
      <c r="H8" s="7">
        <f>L8/M8</f>
        <v/>
      </c>
      <c r="I8" s="9">
        <f>E8/1.055</f>
        <v/>
      </c>
      <c r="J8" s="9">
        <f>I8-C8</f>
        <v/>
      </c>
      <c r="K8" s="9">
        <f>J8*F8</f>
        <v/>
      </c>
      <c r="L8" s="9">
        <f>K8*100</f>
        <v/>
      </c>
      <c r="M8" s="9">
        <f>E8*F8</f>
        <v/>
      </c>
      <c r="N8" s="9">
        <f>D8/1.055</f>
        <v/>
      </c>
      <c r="O8" s="9">
        <f>N8-B8</f>
        <v/>
      </c>
      <c r="P8" s="9">
        <f>O8*F8</f>
        <v/>
      </c>
      <c r="Q8" s="9">
        <f>P8*100</f>
        <v/>
      </c>
      <c r="R8" s="9">
        <f>D8*F8</f>
        <v/>
      </c>
    </row>
    <row r="9" ht="15" customHeight="1" s="6">
      <c r="G9" s="7">
        <f>Q9/R9</f>
        <v/>
      </c>
      <c r="H9" s="7">
        <f>L9/M9</f>
        <v/>
      </c>
      <c r="I9" s="9">
        <f>E9/1.055</f>
        <v/>
      </c>
      <c r="J9" s="9">
        <f>I9-C9</f>
        <v/>
      </c>
      <c r="K9" s="9">
        <f>J9*F9</f>
        <v/>
      </c>
      <c r="L9" s="9">
        <f>K9*100</f>
        <v/>
      </c>
      <c r="M9" s="9">
        <f>E9*F9</f>
        <v/>
      </c>
      <c r="N9" s="9">
        <f>D9/1.055</f>
        <v/>
      </c>
      <c r="O9" s="9">
        <f>N9-B9</f>
        <v/>
      </c>
      <c r="P9" s="9">
        <f>O9*F9</f>
        <v/>
      </c>
      <c r="Q9" s="9">
        <f>P9*100</f>
        <v/>
      </c>
      <c r="R9" s="9">
        <f>D9*F9</f>
        <v/>
      </c>
    </row>
    <row r="10" ht="15" customHeight="1" s="6">
      <c r="G10" s="7">
        <f>Q10/R10</f>
        <v/>
      </c>
      <c r="H10" s="7">
        <f>L10/M10</f>
        <v/>
      </c>
      <c r="I10" s="9">
        <f>E10/1.055</f>
        <v/>
      </c>
      <c r="J10" s="9">
        <f>I10-C10</f>
        <v/>
      </c>
      <c r="K10" s="9">
        <f>J10*F10</f>
        <v/>
      </c>
      <c r="L10" s="9">
        <f>K10*100</f>
        <v/>
      </c>
      <c r="M10" s="9">
        <f>E10*F10</f>
        <v/>
      </c>
      <c r="N10" s="9">
        <f>D10/1.055</f>
        <v/>
      </c>
      <c r="O10" s="9">
        <f>N10-B10</f>
        <v/>
      </c>
      <c r="P10" s="9">
        <f>O10*F10</f>
        <v/>
      </c>
      <c r="Q10" s="9">
        <f>P10*100</f>
        <v/>
      </c>
      <c r="R10" s="9">
        <f>D10*F10</f>
        <v/>
      </c>
    </row>
    <row r="11" ht="15" customHeight="1" s="6">
      <c r="G11" s="7">
        <f>Q11/R11</f>
        <v/>
      </c>
      <c r="H11" s="7">
        <f>L11/M11</f>
        <v/>
      </c>
      <c r="I11" s="9">
        <f>E11/1.055</f>
        <v/>
      </c>
      <c r="J11" s="9">
        <f>I11-C11</f>
        <v/>
      </c>
      <c r="K11" s="9">
        <f>J11*F11</f>
        <v/>
      </c>
      <c r="L11" s="9">
        <f>K11*100</f>
        <v/>
      </c>
      <c r="M11" s="9">
        <f>E11*F11</f>
        <v/>
      </c>
      <c r="N11" s="9">
        <f>D11/1.055</f>
        <v/>
      </c>
      <c r="O11" s="9">
        <f>N11-B11</f>
        <v/>
      </c>
      <c r="P11" s="9">
        <f>O11*F11</f>
        <v/>
      </c>
      <c r="Q11" s="9">
        <f>P11*100</f>
        <v/>
      </c>
      <c r="R11" s="9">
        <f>D11*F11</f>
        <v/>
      </c>
    </row>
    <row r="12" ht="15" customHeight="1" s="6">
      <c r="G12" s="7">
        <f>Q12/R12</f>
        <v/>
      </c>
      <c r="H12" s="7">
        <f>L12/M12</f>
        <v/>
      </c>
      <c r="I12" s="9">
        <f>E12/1.055</f>
        <v/>
      </c>
      <c r="J12" s="9">
        <f>I12-C12</f>
        <v/>
      </c>
      <c r="K12" s="9">
        <f>J12*F12</f>
        <v/>
      </c>
      <c r="L12" s="9">
        <f>K12*100</f>
        <v/>
      </c>
      <c r="M12" s="9">
        <f>E12*F12</f>
        <v/>
      </c>
      <c r="N12" s="9">
        <f>D12/1.055</f>
        <v/>
      </c>
      <c r="O12" s="9">
        <f>N12-B12</f>
        <v/>
      </c>
      <c r="P12" s="9">
        <f>O12*F12</f>
        <v/>
      </c>
      <c r="Q12" s="9">
        <f>P12*100</f>
        <v/>
      </c>
      <c r="R12" s="9">
        <f>D12*F12</f>
        <v/>
      </c>
    </row>
    <row r="13" ht="15" customHeight="1" s="6">
      <c r="G13" s="7">
        <f>Q13/R13</f>
        <v/>
      </c>
      <c r="H13" s="7">
        <f>L13/M13</f>
        <v/>
      </c>
      <c r="I13" s="9">
        <f>E13/1.055</f>
        <v/>
      </c>
      <c r="J13" s="9">
        <f>I13-C13</f>
        <v/>
      </c>
      <c r="K13" s="9">
        <f>J13*F13</f>
        <v/>
      </c>
      <c r="L13" s="9">
        <f>K13*100</f>
        <v/>
      </c>
      <c r="M13" s="9">
        <f>E13*F13</f>
        <v/>
      </c>
      <c r="N13" s="9">
        <f>D13/1.055</f>
        <v/>
      </c>
      <c r="O13" s="9">
        <f>N13-B13</f>
        <v/>
      </c>
      <c r="P13" s="9">
        <f>O13*F13</f>
        <v/>
      </c>
      <c r="Q13" s="9">
        <f>P13*100</f>
        <v/>
      </c>
      <c r="R13" s="9">
        <f>D13*F13</f>
        <v/>
      </c>
    </row>
    <row r="14" ht="15" customHeight="1" s="6">
      <c r="G14" s="7">
        <f>Q14/R14</f>
        <v/>
      </c>
      <c r="H14" s="7">
        <f>L14/M14</f>
        <v/>
      </c>
      <c r="I14" s="9">
        <f>E14/1.055</f>
        <v/>
      </c>
      <c r="J14" s="9">
        <f>I14-C14</f>
        <v/>
      </c>
      <c r="K14" s="9">
        <f>J14*F14</f>
        <v/>
      </c>
      <c r="L14" s="9">
        <f>K14*100</f>
        <v/>
      </c>
      <c r="M14" s="9">
        <f>E14*F14</f>
        <v/>
      </c>
      <c r="N14" s="9">
        <f>D14/1.055</f>
        <v/>
      </c>
      <c r="O14" s="9">
        <f>N14-B14</f>
        <v/>
      </c>
      <c r="P14" s="9">
        <f>O14*F14</f>
        <v/>
      </c>
      <c r="Q14" s="9">
        <f>P14*100</f>
        <v/>
      </c>
      <c r="R14" s="9">
        <f>D14*F14</f>
        <v/>
      </c>
    </row>
    <row r="15" ht="15" customHeight="1" s="6">
      <c r="G15" s="7">
        <f>Q15/R15</f>
        <v/>
      </c>
      <c r="H15" s="7">
        <f>L15/M15</f>
        <v/>
      </c>
      <c r="I15" s="9">
        <f>E15/1.055</f>
        <v/>
      </c>
      <c r="J15" s="9">
        <f>I15-C15</f>
        <v/>
      </c>
      <c r="K15" s="9">
        <f>J15*F15</f>
        <v/>
      </c>
      <c r="L15" s="9">
        <f>K15*100</f>
        <v/>
      </c>
      <c r="M15" s="9">
        <f>E15*F15</f>
        <v/>
      </c>
      <c r="N15" s="9">
        <f>D15/1.055</f>
        <v/>
      </c>
      <c r="O15" s="9">
        <f>N15-B15</f>
        <v/>
      </c>
      <c r="P15" s="9">
        <f>O15*F15</f>
        <v/>
      </c>
      <c r="Q15" s="9">
        <f>P15*100</f>
        <v/>
      </c>
      <c r="R15" s="9">
        <f>D15*F15</f>
        <v/>
      </c>
    </row>
    <row r="16" ht="15" customHeight="1" s="6">
      <c r="G16" s="7">
        <f>Q16/R16</f>
        <v/>
      </c>
      <c r="H16" s="7">
        <f>L16/M16</f>
        <v/>
      </c>
      <c r="I16" s="9">
        <f>E16/1.055</f>
        <v/>
      </c>
      <c r="J16" s="9">
        <f>I16-C16</f>
        <v/>
      </c>
      <c r="K16" s="9">
        <f>J16*F16</f>
        <v/>
      </c>
      <c r="L16" s="9">
        <f>K16*100</f>
        <v/>
      </c>
      <c r="M16" s="9">
        <f>E16*F16</f>
        <v/>
      </c>
      <c r="N16" s="9">
        <f>D16/1.055</f>
        <v/>
      </c>
      <c r="O16" s="9">
        <f>N16-B16</f>
        <v/>
      </c>
      <c r="P16" s="9">
        <f>O16*F16</f>
        <v/>
      </c>
      <c r="Q16" s="9">
        <f>P16*100</f>
        <v/>
      </c>
      <c r="R16" s="9">
        <f>D16*F16</f>
        <v/>
      </c>
    </row>
    <row r="17" ht="15" customHeight="1" s="6">
      <c r="G17" s="7">
        <f>Q17/R17</f>
        <v/>
      </c>
      <c r="H17" s="7">
        <f>L17/M17</f>
        <v/>
      </c>
      <c r="I17" s="9">
        <f>E17/1.055</f>
        <v/>
      </c>
      <c r="J17" s="9">
        <f>I17-C17</f>
        <v/>
      </c>
      <c r="K17" s="9">
        <f>J17*F17</f>
        <v/>
      </c>
      <c r="L17" s="9">
        <f>K17*100</f>
        <v/>
      </c>
      <c r="M17" s="9">
        <f>E17*F17</f>
        <v/>
      </c>
      <c r="N17" s="9">
        <f>D17/1.055</f>
        <v/>
      </c>
      <c r="O17" s="9">
        <f>N17-B17</f>
        <v/>
      </c>
      <c r="P17" s="9">
        <f>O17*F17</f>
        <v/>
      </c>
      <c r="Q17" s="9">
        <f>P17*100</f>
        <v/>
      </c>
      <c r="R17" s="9">
        <f>D17*F17</f>
        <v/>
      </c>
    </row>
    <row r="18" ht="15" customHeight="1" s="6">
      <c r="G18" s="7">
        <f>Q18/R18</f>
        <v/>
      </c>
      <c r="H18" s="7">
        <f>L18/M18</f>
        <v/>
      </c>
      <c r="I18" s="9">
        <f>E18/1.055</f>
        <v/>
      </c>
      <c r="J18" s="9">
        <f>I18-C18</f>
        <v/>
      </c>
      <c r="K18" s="9">
        <f>J18*F18</f>
        <v/>
      </c>
      <c r="L18" s="9">
        <f>K18*100</f>
        <v/>
      </c>
      <c r="M18" s="9">
        <f>E18*F18</f>
        <v/>
      </c>
      <c r="N18" s="9">
        <f>D18/1.055</f>
        <v/>
      </c>
      <c r="O18" s="9">
        <f>N18-B18</f>
        <v/>
      </c>
      <c r="P18" s="9">
        <f>O18*F18</f>
        <v/>
      </c>
      <c r="Q18" s="9">
        <f>P18*100</f>
        <v/>
      </c>
      <c r="R18" s="9">
        <f>D18*F18</f>
        <v/>
      </c>
    </row>
    <row r="19" ht="15" customHeight="1" s="6">
      <c r="G19" s="7">
        <f>Q19/R19</f>
        <v/>
      </c>
      <c r="H19" s="7">
        <f>L19/M19</f>
        <v/>
      </c>
      <c r="I19" s="9">
        <f>E19/1.055</f>
        <v/>
      </c>
      <c r="J19" s="9">
        <f>I19-C19</f>
        <v/>
      </c>
      <c r="K19" s="9">
        <f>J19*F19</f>
        <v/>
      </c>
      <c r="L19" s="9">
        <f>K19*100</f>
        <v/>
      </c>
      <c r="M19" s="9">
        <f>E19*F19</f>
        <v/>
      </c>
      <c r="N19" s="9">
        <f>D19/1.055</f>
        <v/>
      </c>
      <c r="O19" s="9">
        <f>N19-B19</f>
        <v/>
      </c>
      <c r="P19" s="9">
        <f>O19*F19</f>
        <v/>
      </c>
      <c r="Q19" s="9">
        <f>P19*100</f>
        <v/>
      </c>
      <c r="R19" s="9">
        <f>D19*F19</f>
        <v/>
      </c>
    </row>
    <row r="20" ht="15" customHeight="1" s="6">
      <c r="G20" s="7">
        <f>Q20/R20</f>
        <v/>
      </c>
      <c r="H20" s="7">
        <f>L20/M20</f>
        <v/>
      </c>
      <c r="I20" s="9">
        <f>E20/1.055</f>
        <v/>
      </c>
      <c r="J20" s="9">
        <f>I20-C20</f>
        <v/>
      </c>
      <c r="K20" s="9">
        <f>J20*F20</f>
        <v/>
      </c>
      <c r="L20" s="9">
        <f>K20*100</f>
        <v/>
      </c>
      <c r="M20" s="9">
        <f>E20*F20</f>
        <v/>
      </c>
      <c r="N20" s="9">
        <f>D20/1.055</f>
        <v/>
      </c>
      <c r="O20" s="9">
        <f>N20-B20</f>
        <v/>
      </c>
      <c r="P20" s="9">
        <f>O20*F20</f>
        <v/>
      </c>
      <c r="Q20" s="9">
        <f>P20*100</f>
        <v/>
      </c>
      <c r="R20" s="9">
        <f>D20*F20</f>
        <v/>
      </c>
    </row>
    <row r="21" ht="15" customHeight="1" s="6">
      <c r="G21" s="7">
        <f>Q21/R21</f>
        <v/>
      </c>
      <c r="H21" s="7">
        <f>L21/M21</f>
        <v/>
      </c>
      <c r="I21" s="9">
        <f>E21/1.055</f>
        <v/>
      </c>
      <c r="J21" s="9">
        <f>I21-C21</f>
        <v/>
      </c>
      <c r="K21" s="9">
        <f>J21*F21</f>
        <v/>
      </c>
      <c r="L21" s="9">
        <f>K21*100</f>
        <v/>
      </c>
      <c r="M21" s="9">
        <f>E21*F21</f>
        <v/>
      </c>
      <c r="N21" s="9">
        <f>D21/1.055</f>
        <v/>
      </c>
      <c r="O21" s="9">
        <f>N21-B21</f>
        <v/>
      </c>
      <c r="P21" s="9">
        <f>O21*F21</f>
        <v/>
      </c>
      <c r="Q21" s="9">
        <f>P21*100</f>
        <v/>
      </c>
      <c r="R21" s="9">
        <f>D21*F21</f>
        <v/>
      </c>
    </row>
    <row r="22" ht="15" customHeight="1" s="6">
      <c r="G22" s="7">
        <f>Q22/R22</f>
        <v/>
      </c>
      <c r="H22" s="7">
        <f>L22/M22</f>
        <v/>
      </c>
      <c r="I22" s="9">
        <f>E22/1.055</f>
        <v/>
      </c>
      <c r="J22" s="9">
        <f>I22-C22</f>
        <v/>
      </c>
      <c r="K22" s="9">
        <f>J22*F22</f>
        <v/>
      </c>
      <c r="L22" s="9">
        <f>K22*100</f>
        <v/>
      </c>
      <c r="M22" s="9">
        <f>E22*F22</f>
        <v/>
      </c>
      <c r="N22" s="9">
        <f>D22/1.055</f>
        <v/>
      </c>
      <c r="O22" s="9">
        <f>N22-B22</f>
        <v/>
      </c>
      <c r="P22" s="9">
        <f>O22*F22</f>
        <v/>
      </c>
      <c r="Q22" s="9">
        <f>P22*100</f>
        <v/>
      </c>
      <c r="R22" s="9">
        <f>D22*F22</f>
        <v/>
      </c>
    </row>
    <row r="23" ht="15" customHeight="1" s="6">
      <c r="G23" s="7">
        <f>Q23/R23</f>
        <v/>
      </c>
      <c r="H23" s="7">
        <f>L23/M23</f>
        <v/>
      </c>
      <c r="I23" s="9">
        <f>E23/1.055</f>
        <v/>
      </c>
      <c r="J23" s="9">
        <f>I23-C23</f>
        <v/>
      </c>
      <c r="K23" s="9">
        <f>J23*F23</f>
        <v/>
      </c>
      <c r="L23" s="9">
        <f>K23*100</f>
        <v/>
      </c>
      <c r="M23" s="9">
        <f>E23*F23</f>
        <v/>
      </c>
      <c r="N23" s="9">
        <f>D23/1.055</f>
        <v/>
      </c>
      <c r="O23" s="9">
        <f>N23-B23</f>
        <v/>
      </c>
      <c r="P23" s="9">
        <f>O23*F23</f>
        <v/>
      </c>
      <c r="Q23" s="9">
        <f>P23*100</f>
        <v/>
      </c>
      <c r="R23" s="9">
        <f>D23*F23</f>
        <v/>
      </c>
    </row>
    <row r="24" ht="15" customHeight="1" s="6">
      <c r="G24" s="7">
        <f>Q24/R24</f>
        <v/>
      </c>
      <c r="H24" s="7">
        <f>L24/M24</f>
        <v/>
      </c>
      <c r="I24" s="9">
        <f>E24/1.055</f>
        <v/>
      </c>
      <c r="J24" s="9">
        <f>I24-C24</f>
        <v/>
      </c>
      <c r="K24" s="9">
        <f>J24*F24</f>
        <v/>
      </c>
      <c r="L24" s="9">
        <f>K24*100</f>
        <v/>
      </c>
      <c r="M24" s="9">
        <f>E24*F24</f>
        <v/>
      </c>
      <c r="N24" s="9">
        <f>D24/1.055</f>
        <v/>
      </c>
      <c r="O24" s="9">
        <f>N24-B24</f>
        <v/>
      </c>
      <c r="P24" s="9">
        <f>O24*F24</f>
        <v/>
      </c>
      <c r="Q24" s="9">
        <f>P24*100</f>
        <v/>
      </c>
      <c r="R24" s="9">
        <f>D24*F24</f>
        <v/>
      </c>
    </row>
    <row r="25" ht="15" customHeight="1" s="6">
      <c r="G25" s="7">
        <f>Q25/R25</f>
        <v/>
      </c>
      <c r="H25" s="7">
        <f>L25/M25</f>
        <v/>
      </c>
      <c r="I25" s="9">
        <f>E25/1.055</f>
        <v/>
      </c>
      <c r="J25" s="9">
        <f>I25-C25</f>
        <v/>
      </c>
      <c r="K25" s="9">
        <f>J25*F25</f>
        <v/>
      </c>
      <c r="L25" s="9">
        <f>K25*100</f>
        <v/>
      </c>
      <c r="M25" s="9">
        <f>E25*F25</f>
        <v/>
      </c>
      <c r="N25" s="9">
        <f>D25/1.055</f>
        <v/>
      </c>
      <c r="O25" s="9">
        <f>N25-B25</f>
        <v/>
      </c>
      <c r="P25" s="9">
        <f>O25*F25</f>
        <v/>
      </c>
      <c r="Q25" s="9">
        <f>P25*100</f>
        <v/>
      </c>
      <c r="R25" s="9">
        <f>D25*F25</f>
        <v/>
      </c>
    </row>
    <row r="26" ht="15" customHeight="1" s="6">
      <c r="G26" s="7">
        <f>Q26/R26</f>
        <v/>
      </c>
      <c r="H26" s="7">
        <f>L26/M26</f>
        <v/>
      </c>
      <c r="I26" s="9">
        <f>E26/1.055</f>
        <v/>
      </c>
      <c r="J26" s="9">
        <f>I26-C26</f>
        <v/>
      </c>
      <c r="K26" s="9">
        <f>J26*F26</f>
        <v/>
      </c>
      <c r="L26" s="9">
        <f>K26*100</f>
        <v/>
      </c>
      <c r="M26" s="9">
        <f>E26*F26</f>
        <v/>
      </c>
      <c r="N26" s="9">
        <f>D26/1.055</f>
        <v/>
      </c>
      <c r="O26" s="9">
        <f>N26-B26</f>
        <v/>
      </c>
      <c r="P26" s="9">
        <f>O26*F26</f>
        <v/>
      </c>
      <c r="Q26" s="9">
        <f>P26*100</f>
        <v/>
      </c>
      <c r="R26" s="9">
        <f>D26*F26</f>
        <v/>
      </c>
    </row>
    <row r="27" ht="15" customHeight="1" s="6">
      <c r="G27" s="7">
        <f>Q27/R27</f>
        <v/>
      </c>
      <c r="H27" s="7">
        <f>L27/M27</f>
        <v/>
      </c>
      <c r="I27" s="9">
        <f>E27/1.055</f>
        <v/>
      </c>
      <c r="J27" s="9">
        <f>I27-C27</f>
        <v/>
      </c>
      <c r="K27" s="9">
        <f>J27*F27</f>
        <v/>
      </c>
      <c r="L27" s="9">
        <f>K27*100</f>
        <v/>
      </c>
      <c r="M27" s="9">
        <f>E27*F27</f>
        <v/>
      </c>
      <c r="N27" s="9">
        <f>D27/1.055</f>
        <v/>
      </c>
      <c r="O27" s="9">
        <f>N27-B27</f>
        <v/>
      </c>
      <c r="P27" s="9">
        <f>O27*F27</f>
        <v/>
      </c>
      <c r="Q27" s="9">
        <f>P27*100</f>
        <v/>
      </c>
      <c r="R27" s="9">
        <f>D27*F27</f>
        <v/>
      </c>
    </row>
    <row r="28" ht="15" customHeight="1" s="6">
      <c r="G28" s="7">
        <f>Q28/R28</f>
        <v/>
      </c>
      <c r="H28" s="7">
        <f>L28/M28</f>
        <v/>
      </c>
      <c r="I28" s="9">
        <f>E28/1.055</f>
        <v/>
      </c>
      <c r="J28" s="9">
        <f>I28-C28</f>
        <v/>
      </c>
      <c r="K28" s="9">
        <f>J28*F28</f>
        <v/>
      </c>
      <c r="L28" s="9">
        <f>K28*100</f>
        <v/>
      </c>
      <c r="M28" s="9">
        <f>E28*F28</f>
        <v/>
      </c>
      <c r="N28" s="9">
        <f>D28/1.055</f>
        <v/>
      </c>
      <c r="O28" s="9">
        <f>N28-B28</f>
        <v/>
      </c>
      <c r="P28" s="9">
        <f>O28*F28</f>
        <v/>
      </c>
      <c r="Q28" s="9">
        <f>P28*100</f>
        <v/>
      </c>
      <c r="R28" s="9">
        <f>D28*F28</f>
        <v/>
      </c>
    </row>
    <row r="29" ht="15" customHeight="1" s="6">
      <c r="G29" s="7">
        <f>Q29/R29</f>
        <v/>
      </c>
      <c r="H29" s="7">
        <f>L29/M29</f>
        <v/>
      </c>
      <c r="I29" s="9">
        <f>E29/1.055</f>
        <v/>
      </c>
      <c r="J29" s="9">
        <f>I29-C29</f>
        <v/>
      </c>
      <c r="K29" s="9">
        <f>J29*F29</f>
        <v/>
      </c>
      <c r="L29" s="9">
        <f>K29*100</f>
        <v/>
      </c>
      <c r="M29" s="9">
        <f>E29*F29</f>
        <v/>
      </c>
      <c r="N29" s="9">
        <f>D29/1.055</f>
        <v/>
      </c>
      <c r="O29" s="9">
        <f>N29-B29</f>
        <v/>
      </c>
      <c r="P29" s="9">
        <f>O29*F29</f>
        <v/>
      </c>
      <c r="Q29" s="9">
        <f>P29*100</f>
        <v/>
      </c>
      <c r="R29" s="9">
        <f>D29*F29</f>
        <v/>
      </c>
    </row>
    <row r="30" ht="15" customHeight="1" s="6">
      <c r="G30" s="7">
        <f>Q30/R30</f>
        <v/>
      </c>
      <c r="H30" s="7">
        <f>L30/M30</f>
        <v/>
      </c>
      <c r="I30" s="9">
        <f>E30/1.055</f>
        <v/>
      </c>
      <c r="J30" s="9">
        <f>I30-C30</f>
        <v/>
      </c>
      <c r="K30" s="9">
        <f>J30*F30</f>
        <v/>
      </c>
      <c r="L30" s="9">
        <f>K30*100</f>
        <v/>
      </c>
      <c r="M30" s="9">
        <f>E30*F30</f>
        <v/>
      </c>
      <c r="N30" s="9">
        <f>D30/1.055</f>
        <v/>
      </c>
      <c r="O30" s="9">
        <f>N30-B30</f>
        <v/>
      </c>
      <c r="P30" s="9">
        <f>O30*F30</f>
        <v/>
      </c>
      <c r="Q30" s="9">
        <f>P30*100</f>
        <v/>
      </c>
      <c r="R30" s="9">
        <f>D30*F30</f>
        <v/>
      </c>
    </row>
    <row r="31" ht="15" customHeight="1" s="6">
      <c r="G31" s="7">
        <f>Q31/R31</f>
        <v/>
      </c>
      <c r="H31" s="7">
        <f>L31/M31</f>
        <v/>
      </c>
      <c r="I31" s="9">
        <f>E31/1.055</f>
        <v/>
      </c>
      <c r="J31" s="9">
        <f>I31-C31</f>
        <v/>
      </c>
      <c r="K31" s="9">
        <f>J31*F31</f>
        <v/>
      </c>
      <c r="L31" s="9">
        <f>K31*100</f>
        <v/>
      </c>
      <c r="M31" s="9">
        <f>E31*F31</f>
        <v/>
      </c>
      <c r="N31" s="9">
        <f>D31/1.055</f>
        <v/>
      </c>
      <c r="O31" s="9">
        <f>N31-B31</f>
        <v/>
      </c>
      <c r="P31" s="9">
        <f>O31*F31</f>
        <v/>
      </c>
      <c r="Q31" s="9">
        <f>P31*100</f>
        <v/>
      </c>
      <c r="R31" s="9">
        <f>D31*F31</f>
        <v/>
      </c>
    </row>
    <row r="32" ht="15" customHeight="1" s="6">
      <c r="G32" s="7">
        <f>Q32/R32</f>
        <v/>
      </c>
      <c r="H32" s="7">
        <f>L32/M32</f>
        <v/>
      </c>
      <c r="I32" s="9">
        <f>E32/1.055</f>
        <v/>
      </c>
      <c r="J32" s="9">
        <f>I32-C32</f>
        <v/>
      </c>
      <c r="K32" s="9">
        <f>J32*F32</f>
        <v/>
      </c>
      <c r="L32" s="9">
        <f>K32*100</f>
        <v/>
      </c>
      <c r="M32" s="9">
        <f>E32*F32</f>
        <v/>
      </c>
      <c r="N32" s="9">
        <f>D32/1.055</f>
        <v/>
      </c>
      <c r="O32" s="9">
        <f>N32-B32</f>
        <v/>
      </c>
      <c r="P32" s="9">
        <f>O32*F32</f>
        <v/>
      </c>
      <c r="Q32" s="9">
        <f>P32*100</f>
        <v/>
      </c>
      <c r="R32" s="9">
        <f>D32*F32</f>
        <v/>
      </c>
    </row>
    <row r="33" ht="15" customHeight="1" s="6">
      <c r="G33" s="7">
        <f>Q33/R33</f>
        <v/>
      </c>
      <c r="H33" s="7">
        <f>L33/M33</f>
        <v/>
      </c>
      <c r="I33" s="9">
        <f>E33/1.055</f>
        <v/>
      </c>
      <c r="J33" s="9">
        <f>I33-C33</f>
        <v/>
      </c>
      <c r="K33" s="9">
        <f>J33*F33</f>
        <v/>
      </c>
      <c r="L33" s="9">
        <f>K33*100</f>
        <v/>
      </c>
      <c r="M33" s="9">
        <f>E33*F33</f>
        <v/>
      </c>
      <c r="N33" s="9">
        <f>D33/1.055</f>
        <v/>
      </c>
      <c r="O33" s="9">
        <f>N33-B33</f>
        <v/>
      </c>
      <c r="P33" s="9">
        <f>O33*F33</f>
        <v/>
      </c>
      <c r="Q33" s="9">
        <f>P33*100</f>
        <v/>
      </c>
      <c r="R33" s="9">
        <f>D33*F33</f>
        <v/>
      </c>
    </row>
    <row r="34" ht="15" customHeight="1" s="6">
      <c r="G34" s="7">
        <f>Q34/R34</f>
        <v/>
      </c>
      <c r="H34" s="7">
        <f>L34/M34</f>
        <v/>
      </c>
      <c r="I34" s="9">
        <f>E34/1.055</f>
        <v/>
      </c>
      <c r="J34" s="9">
        <f>I34-C34</f>
        <v/>
      </c>
      <c r="K34" s="9">
        <f>J34*F34</f>
        <v/>
      </c>
      <c r="L34" s="9">
        <f>K34*100</f>
        <v/>
      </c>
      <c r="M34" s="9">
        <f>E34*F34</f>
        <v/>
      </c>
      <c r="N34" s="9">
        <f>D34/1.055</f>
        <v/>
      </c>
      <c r="O34" s="9">
        <f>N34-B34</f>
        <v/>
      </c>
      <c r="P34" s="9">
        <f>O34*F34</f>
        <v/>
      </c>
      <c r="Q34" s="9">
        <f>P34*100</f>
        <v/>
      </c>
      <c r="R34" s="9">
        <f>D34*F34</f>
        <v/>
      </c>
    </row>
    <row r="35" ht="15" customHeight="1" s="6">
      <c r="G35" s="7">
        <f>Q35/R35</f>
        <v/>
      </c>
      <c r="H35" s="7">
        <f>L35/M35</f>
        <v/>
      </c>
      <c r="I35" s="9">
        <f>E35/1.055</f>
        <v/>
      </c>
      <c r="J35" s="9">
        <f>I35-C35</f>
        <v/>
      </c>
      <c r="K35" s="9">
        <f>J35*F35</f>
        <v/>
      </c>
      <c r="L35" s="9">
        <f>K35*100</f>
        <v/>
      </c>
      <c r="M35" s="9">
        <f>E35*F35</f>
        <v/>
      </c>
      <c r="N35" s="9">
        <f>D35/1.055</f>
        <v/>
      </c>
      <c r="O35" s="9">
        <f>N35-B35</f>
        <v/>
      </c>
      <c r="P35" s="9">
        <f>O35*F35</f>
        <v/>
      </c>
      <c r="Q35" s="9">
        <f>P35*100</f>
        <v/>
      </c>
      <c r="R35" s="9">
        <f>D35*F35</f>
        <v/>
      </c>
    </row>
    <row r="36" ht="15" customHeight="1" s="6">
      <c r="G36" s="7">
        <f>Q36/R36</f>
        <v/>
      </c>
      <c r="H36" s="7">
        <f>L36/M36</f>
        <v/>
      </c>
      <c r="I36" s="9">
        <f>E36/1.055</f>
        <v/>
      </c>
      <c r="J36" s="9">
        <f>I36-C36</f>
        <v/>
      </c>
      <c r="K36" s="9">
        <f>J36*F36</f>
        <v/>
      </c>
      <c r="L36" s="9">
        <f>K36*100</f>
        <v/>
      </c>
      <c r="M36" s="9">
        <f>E36*F36</f>
        <v/>
      </c>
      <c r="N36" s="9">
        <f>D36/1.055</f>
        <v/>
      </c>
      <c r="O36" s="9">
        <f>N36-B36</f>
        <v/>
      </c>
      <c r="P36" s="9">
        <f>O36*F36</f>
        <v/>
      </c>
      <c r="Q36" s="9">
        <f>P36*100</f>
        <v/>
      </c>
      <c r="R36" s="9">
        <f>D36*F36</f>
        <v/>
      </c>
    </row>
    <row r="37" ht="15" customHeight="1" s="6">
      <c r="G37" s="7">
        <f>Q37/R37</f>
        <v/>
      </c>
      <c r="H37" s="7">
        <f>L37/M37</f>
        <v/>
      </c>
      <c r="I37" s="9">
        <f>E37/1.055</f>
        <v/>
      </c>
      <c r="J37" s="9">
        <f>I37-C37</f>
        <v/>
      </c>
      <c r="K37" s="9">
        <f>J37*F37</f>
        <v/>
      </c>
      <c r="L37" s="9">
        <f>K37*100</f>
        <v/>
      </c>
      <c r="M37" s="9">
        <f>E37*F37</f>
        <v/>
      </c>
      <c r="N37" s="9">
        <f>D37/1.055</f>
        <v/>
      </c>
      <c r="O37" s="9">
        <f>N37-B37</f>
        <v/>
      </c>
      <c r="P37" s="9">
        <f>O37*F37</f>
        <v/>
      </c>
      <c r="Q37" s="9">
        <f>P37*100</f>
        <v/>
      </c>
      <c r="R37" s="9">
        <f>D37*F37</f>
        <v/>
      </c>
    </row>
    <row r="38" ht="15" customHeight="1" s="6">
      <c r="G38" s="7">
        <f>Q38/R38</f>
        <v/>
      </c>
      <c r="H38" s="7">
        <f>L38/M38</f>
        <v/>
      </c>
      <c r="I38" s="9">
        <f>E38/1.055</f>
        <v/>
      </c>
      <c r="J38" s="9">
        <f>I38-C38</f>
        <v/>
      </c>
      <c r="K38" s="9">
        <f>J38*F38</f>
        <v/>
      </c>
      <c r="L38" s="9">
        <f>K38*100</f>
        <v/>
      </c>
      <c r="M38" s="9">
        <f>E38*F38</f>
        <v/>
      </c>
      <c r="N38" s="9">
        <f>D38/1.055</f>
        <v/>
      </c>
      <c r="O38" s="9">
        <f>N38-B38</f>
        <v/>
      </c>
      <c r="P38" s="9">
        <f>O38*F38</f>
        <v/>
      </c>
      <c r="Q38" s="9">
        <f>P38*100</f>
        <v/>
      </c>
      <c r="R38" s="9">
        <f>D38*F38</f>
        <v/>
      </c>
    </row>
    <row r="39" ht="15" customHeight="1" s="6">
      <c r="G39" s="7">
        <f>Q39/R39</f>
        <v/>
      </c>
      <c r="H39" s="7">
        <f>L39/M39</f>
        <v/>
      </c>
      <c r="I39" s="9">
        <f>E39/1.055</f>
        <v/>
      </c>
      <c r="J39" s="9">
        <f>I39-C39</f>
        <v/>
      </c>
      <c r="K39" s="9">
        <f>J39*F39</f>
        <v/>
      </c>
      <c r="L39" s="9">
        <f>K39*100</f>
        <v/>
      </c>
      <c r="M39" s="9">
        <f>E39*F39</f>
        <v/>
      </c>
      <c r="N39" s="9">
        <f>D39/1.055</f>
        <v/>
      </c>
      <c r="O39" s="9">
        <f>N39-B39</f>
        <v/>
      </c>
      <c r="P39" s="9">
        <f>O39*F39</f>
        <v/>
      </c>
      <c r="Q39" s="9">
        <f>P39*100</f>
        <v/>
      </c>
      <c r="R39" s="9">
        <f>D39*F39</f>
        <v/>
      </c>
    </row>
    <row r="40" ht="15" customHeight="1" s="6">
      <c r="G40" s="7">
        <f>Q40/R40</f>
        <v/>
      </c>
      <c r="H40" s="7">
        <f>L40/M40</f>
        <v/>
      </c>
      <c r="I40" s="9">
        <f>E40/1.055</f>
        <v/>
      </c>
      <c r="J40" s="9">
        <f>I40-C40</f>
        <v/>
      </c>
      <c r="K40" s="9">
        <f>J40*F40</f>
        <v/>
      </c>
      <c r="L40" s="9">
        <f>K40*100</f>
        <v/>
      </c>
      <c r="M40" s="9">
        <f>E40*F40</f>
        <v/>
      </c>
      <c r="N40" s="9">
        <f>D40/1.055</f>
        <v/>
      </c>
      <c r="O40" s="9">
        <f>N40-B40</f>
        <v/>
      </c>
      <c r="P40" s="9">
        <f>O40*F40</f>
        <v/>
      </c>
      <c r="Q40" s="9">
        <f>P40*100</f>
        <v/>
      </c>
      <c r="R40" s="9">
        <f>D40*F40</f>
        <v/>
      </c>
    </row>
    <row r="41" ht="15" customHeight="1" s="6">
      <c r="G41" s="7">
        <f>Q41/R41</f>
        <v/>
      </c>
      <c r="H41" s="7">
        <f>L41/M41</f>
        <v/>
      </c>
      <c r="I41" s="9">
        <f>E41/1.055</f>
        <v/>
      </c>
      <c r="J41" s="9">
        <f>I41-C41</f>
        <v/>
      </c>
      <c r="K41" s="9">
        <f>J41*F41</f>
        <v/>
      </c>
      <c r="L41" s="9">
        <f>K41*100</f>
        <v/>
      </c>
      <c r="M41" s="9">
        <f>E41*F41</f>
        <v/>
      </c>
      <c r="N41" s="9">
        <f>D41/1.055</f>
        <v/>
      </c>
      <c r="O41" s="9">
        <f>N41-B41</f>
        <v/>
      </c>
      <c r="P41" s="9">
        <f>O41*F41</f>
        <v/>
      </c>
      <c r="Q41" s="9">
        <f>P41*100</f>
        <v/>
      </c>
      <c r="R41" s="9">
        <f>D41*F41</f>
        <v/>
      </c>
    </row>
    <row r="42" ht="15" customHeight="1" s="6">
      <c r="G42" s="7">
        <f>Q42/R42</f>
        <v/>
      </c>
      <c r="H42" s="7">
        <f>L42/M42</f>
        <v/>
      </c>
      <c r="I42" s="9">
        <f>E42/1.055</f>
        <v/>
      </c>
      <c r="J42" s="9">
        <f>I42-C42</f>
        <v/>
      </c>
      <c r="K42" s="9">
        <f>J42*F42</f>
        <v/>
      </c>
      <c r="L42" s="9">
        <f>K42*100</f>
        <v/>
      </c>
      <c r="M42" s="9">
        <f>E42*F42</f>
        <v/>
      </c>
      <c r="N42" s="9">
        <f>D42/1.055</f>
        <v/>
      </c>
      <c r="O42" s="9">
        <f>N42-B42</f>
        <v/>
      </c>
      <c r="P42" s="9">
        <f>O42*F42</f>
        <v/>
      </c>
      <c r="Q42" s="9">
        <f>P42*100</f>
        <v/>
      </c>
      <c r="R42" s="9">
        <f>D42*F42</f>
        <v/>
      </c>
    </row>
    <row r="43" ht="15" customHeight="1" s="6">
      <c r="G43" s="7">
        <f>Q43/R43</f>
        <v/>
      </c>
      <c r="H43" s="7">
        <f>L43/M43</f>
        <v/>
      </c>
      <c r="I43" s="9">
        <f>E43/1.055</f>
        <v/>
      </c>
      <c r="J43" s="9">
        <f>I43-C43</f>
        <v/>
      </c>
      <c r="K43" s="9">
        <f>J43*F43</f>
        <v/>
      </c>
      <c r="L43" s="9">
        <f>K43*100</f>
        <v/>
      </c>
      <c r="M43" s="9">
        <f>E43*F43</f>
        <v/>
      </c>
      <c r="N43" s="9">
        <f>D43/1.055</f>
        <v/>
      </c>
      <c r="O43" s="9">
        <f>N43-B43</f>
        <v/>
      </c>
      <c r="P43" s="9">
        <f>O43*F43</f>
        <v/>
      </c>
      <c r="Q43" s="9">
        <f>P43*100</f>
        <v/>
      </c>
      <c r="R43" s="9">
        <f>D43*F43</f>
        <v/>
      </c>
    </row>
    <row r="44" ht="15" customHeight="1" s="6">
      <c r="G44" s="7">
        <f>Q44/R44</f>
        <v/>
      </c>
      <c r="H44" s="7">
        <f>L44/M44</f>
        <v/>
      </c>
      <c r="I44" s="9">
        <f>E44/1.055</f>
        <v/>
      </c>
      <c r="J44" s="9">
        <f>I44-C44</f>
        <v/>
      </c>
      <c r="K44" s="9">
        <f>J44*F44</f>
        <v/>
      </c>
      <c r="L44" s="9">
        <f>K44*100</f>
        <v/>
      </c>
      <c r="M44" s="9">
        <f>E44*F44</f>
        <v/>
      </c>
      <c r="N44" s="9">
        <f>D44/1.055</f>
        <v/>
      </c>
      <c r="O44" s="9">
        <f>N44-B44</f>
        <v/>
      </c>
      <c r="P44" s="9">
        <f>O44*F44</f>
        <v/>
      </c>
      <c r="Q44" s="9">
        <f>P44*100</f>
        <v/>
      </c>
      <c r="R44" s="9">
        <f>D44*F44</f>
        <v/>
      </c>
    </row>
    <row r="45" ht="15" customHeight="1" s="6">
      <c r="G45" s="7">
        <f>Q45/R45</f>
        <v/>
      </c>
      <c r="H45" s="7">
        <f>L45/M45</f>
        <v/>
      </c>
      <c r="I45" s="9">
        <f>E45/1.055</f>
        <v/>
      </c>
      <c r="J45" s="9">
        <f>I45-C45</f>
        <v/>
      </c>
      <c r="K45" s="9">
        <f>J45*F45</f>
        <v/>
      </c>
      <c r="L45" s="9">
        <f>K45*100</f>
        <v/>
      </c>
      <c r="M45" s="9">
        <f>E45*F45</f>
        <v/>
      </c>
      <c r="N45" s="9">
        <f>D45/1.055</f>
        <v/>
      </c>
      <c r="O45" s="9">
        <f>N45-B45</f>
        <v/>
      </c>
      <c r="P45" s="9">
        <f>O45*F45</f>
        <v/>
      </c>
      <c r="Q45" s="9">
        <f>P45*100</f>
        <v/>
      </c>
      <c r="R45" s="9">
        <f>D45*F45</f>
        <v/>
      </c>
    </row>
    <row r="46" ht="15" customHeight="1" s="6">
      <c r="G46" s="7">
        <f>Q46/R46</f>
        <v/>
      </c>
      <c r="H46" s="7">
        <f>L46/M46</f>
        <v/>
      </c>
      <c r="I46" s="9">
        <f>E46/1.055</f>
        <v/>
      </c>
      <c r="J46" s="9">
        <f>I46-C46</f>
        <v/>
      </c>
      <c r="K46" s="9">
        <f>J46*F46</f>
        <v/>
      </c>
      <c r="L46" s="9">
        <f>K46*100</f>
        <v/>
      </c>
      <c r="M46" s="9">
        <f>E46*F46</f>
        <v/>
      </c>
      <c r="N46" s="9">
        <f>D46/1.055</f>
        <v/>
      </c>
      <c r="O46" s="9">
        <f>N46-B46</f>
        <v/>
      </c>
      <c r="P46" s="9">
        <f>O46*F46</f>
        <v/>
      </c>
      <c r="Q46" s="9">
        <f>P46*100</f>
        <v/>
      </c>
      <c r="R46" s="9">
        <f>D46*F46</f>
        <v/>
      </c>
    </row>
    <row r="47" ht="15" customHeight="1" s="6">
      <c r="G47" s="7">
        <f>Q47/R47</f>
        <v/>
      </c>
      <c r="H47" s="7">
        <f>L47/M47</f>
        <v/>
      </c>
      <c r="I47" s="9">
        <f>E47/1.055</f>
        <v/>
      </c>
      <c r="J47" s="9">
        <f>I47-C47</f>
        <v/>
      </c>
      <c r="K47" s="9">
        <f>J47*F47</f>
        <v/>
      </c>
      <c r="L47" s="9">
        <f>K47*100</f>
        <v/>
      </c>
      <c r="M47" s="9">
        <f>E47*F47</f>
        <v/>
      </c>
      <c r="N47" s="9">
        <f>D47/1.055</f>
        <v/>
      </c>
      <c r="O47" s="9">
        <f>N47-B47</f>
        <v/>
      </c>
      <c r="P47" s="9">
        <f>O47*F47</f>
        <v/>
      </c>
      <c r="Q47" s="9">
        <f>P47*100</f>
        <v/>
      </c>
      <c r="R47" s="9">
        <f>D47*F47</f>
        <v/>
      </c>
    </row>
    <row r="48" ht="15" customHeight="1" s="6">
      <c r="G48" s="7">
        <f>Q48/R48</f>
        <v/>
      </c>
      <c r="H48" s="7">
        <f>L48/M48</f>
        <v/>
      </c>
      <c r="I48" s="9">
        <f>E48/1.055</f>
        <v/>
      </c>
      <c r="J48" s="9">
        <f>I48-C48</f>
        <v/>
      </c>
      <c r="K48" s="9">
        <f>J48*F48</f>
        <v/>
      </c>
      <c r="L48" s="9">
        <f>K48*100</f>
        <v/>
      </c>
      <c r="M48" s="9">
        <f>E48*F48</f>
        <v/>
      </c>
      <c r="N48" s="9">
        <f>D48/1.055</f>
        <v/>
      </c>
      <c r="O48" s="9">
        <f>N48-B48</f>
        <v/>
      </c>
      <c r="P48" s="9">
        <f>O48*F48</f>
        <v/>
      </c>
      <c r="Q48" s="9">
        <f>P48*100</f>
        <v/>
      </c>
      <c r="R48" s="9">
        <f>D48*F48</f>
        <v/>
      </c>
    </row>
    <row r="49" ht="15" customHeight="1" s="6">
      <c r="G49" s="7">
        <f>Q49/R49</f>
        <v/>
      </c>
      <c r="H49" s="7">
        <f>L49/M49</f>
        <v/>
      </c>
      <c r="I49" s="9">
        <f>E49/1.055</f>
        <v/>
      </c>
      <c r="J49" s="9">
        <f>I49-C49</f>
        <v/>
      </c>
      <c r="K49" s="9">
        <f>J49*F49</f>
        <v/>
      </c>
      <c r="L49" s="9">
        <f>K49*100</f>
        <v/>
      </c>
      <c r="M49" s="9">
        <f>E49*F49</f>
        <v/>
      </c>
      <c r="N49" s="9">
        <f>D49/1.055</f>
        <v/>
      </c>
      <c r="O49" s="9">
        <f>N49-B49</f>
        <v/>
      </c>
      <c r="P49" s="9">
        <f>O49*F49</f>
        <v/>
      </c>
      <c r="Q49" s="9">
        <f>P49*100</f>
        <v/>
      </c>
      <c r="R49" s="9">
        <f>D49*F49</f>
        <v/>
      </c>
    </row>
    <row r="50" ht="15" customHeight="1" s="6">
      <c r="G50" s="7">
        <f>Q50/R50</f>
        <v/>
      </c>
      <c r="H50" s="7">
        <f>L50/M50</f>
        <v/>
      </c>
      <c r="I50" s="9">
        <f>E50/1.055</f>
        <v/>
      </c>
      <c r="J50" s="9">
        <f>I50-C50</f>
        <v/>
      </c>
      <c r="K50" s="9">
        <f>J50*F50</f>
        <v/>
      </c>
      <c r="L50" s="9">
        <f>K50*100</f>
        <v/>
      </c>
      <c r="M50" s="9">
        <f>E50*F50</f>
        <v/>
      </c>
      <c r="N50" s="9">
        <f>D50/1.055</f>
        <v/>
      </c>
      <c r="O50" s="9">
        <f>N50-B50</f>
        <v/>
      </c>
      <c r="P50" s="9">
        <f>O50*F50</f>
        <v/>
      </c>
      <c r="Q50" s="9">
        <f>P50*100</f>
        <v/>
      </c>
      <c r="R50" s="9">
        <f>D50*F50</f>
        <v/>
      </c>
    </row>
    <row r="51" ht="15" customHeight="1" s="6">
      <c r="G51" s="7">
        <f>Q51/R51</f>
        <v/>
      </c>
      <c r="H51" s="7">
        <f>L51/M51</f>
        <v/>
      </c>
      <c r="I51" s="9">
        <f>E51/1.055</f>
        <v/>
      </c>
      <c r="J51" s="9">
        <f>I51-C51</f>
        <v/>
      </c>
      <c r="K51" s="9">
        <f>J51*F51</f>
        <v/>
      </c>
      <c r="L51" s="9">
        <f>K51*100</f>
        <v/>
      </c>
      <c r="M51" s="9">
        <f>E51*F51</f>
        <v/>
      </c>
      <c r="N51" s="9">
        <f>D51/1.055</f>
        <v/>
      </c>
      <c r="O51" s="9">
        <f>N51-B51</f>
        <v/>
      </c>
      <c r="P51" s="9">
        <f>O51*F51</f>
        <v/>
      </c>
      <c r="Q51" s="9">
        <f>P51*100</f>
        <v/>
      </c>
      <c r="R51" s="9">
        <f>D51*F51</f>
        <v/>
      </c>
    </row>
  </sheetData>
  <conditionalFormatting sqref="E50">
    <cfRule type="cellIs" rank="0" priority="2" equalAverage="0" operator="lessThan" aboveAverage="0" dxfId="0" text="" percent="0" bottom="0">
      <formula>$D$50</formula>
    </cfRule>
  </conditionalFormatting>
  <conditionalFormatting sqref="D50">
    <cfRule type="cellIs" rank="0" priority="3" equalAverage="0" operator="lessThan" aboveAverage="0" dxfId="0" text="" percent="0" bottom="0">
      <formula>$E$50</formula>
    </cfRule>
  </conditionalFormatting>
  <conditionalFormatting sqref="E49">
    <cfRule type="cellIs" rank="0" priority="4" equalAverage="0" operator="lessThan" aboveAverage="0" dxfId="0" text="" percent="0" bottom="0">
      <formula>$D$49</formula>
    </cfRule>
  </conditionalFormatting>
  <conditionalFormatting sqref="D49">
    <cfRule type="cellIs" rank="0" priority="5" equalAverage="0" operator="lessThan" aboveAverage="0" dxfId="0" text="" percent="0" bottom="0">
      <formula>$E$49</formula>
    </cfRule>
  </conditionalFormatting>
  <conditionalFormatting sqref="E48">
    <cfRule type="cellIs" rank="0" priority="6" equalAverage="0" operator="lessThan" aboveAverage="0" dxfId="0" text="" percent="0" bottom="0">
      <formula>$D$48</formula>
    </cfRule>
  </conditionalFormatting>
  <conditionalFormatting sqref="D48">
    <cfRule type="cellIs" rank="0" priority="7" equalAverage="0" operator="lessThan" aboveAverage="0" dxfId="0" text="" percent="0" bottom="0">
      <formula>$E$48</formula>
    </cfRule>
  </conditionalFormatting>
  <conditionalFormatting sqref="E47">
    <cfRule type="cellIs" rank="0" priority="8" equalAverage="0" operator="lessThan" aboveAverage="0" dxfId="0" text="" percent="0" bottom="0">
      <formula>$D$47</formula>
    </cfRule>
  </conditionalFormatting>
  <conditionalFormatting sqref="D47">
    <cfRule type="cellIs" rank="0" priority="9" equalAverage="0" operator="lessThan" aboveAverage="0" dxfId="0" text="" percent="0" bottom="0">
      <formula>$E$47</formula>
    </cfRule>
  </conditionalFormatting>
  <conditionalFormatting sqref="E46">
    <cfRule type="cellIs" rank="0" priority="10" equalAverage="0" operator="lessThan" aboveAverage="0" dxfId="0" text="" percent="0" bottom="0">
      <formula>$D$46</formula>
    </cfRule>
  </conditionalFormatting>
  <conditionalFormatting sqref="D46">
    <cfRule type="cellIs" rank="0" priority="11" equalAverage="0" operator="lessThan" aboveAverage="0" dxfId="0" text="" percent="0" bottom="0">
      <formula>$E$46</formula>
    </cfRule>
  </conditionalFormatting>
  <conditionalFormatting sqref="E45">
    <cfRule type="cellIs" rank="0" priority="12" equalAverage="0" operator="lessThan" aboveAverage="0" dxfId="0" text="" percent="0" bottom="0">
      <formula>$D$45</formula>
    </cfRule>
  </conditionalFormatting>
  <conditionalFormatting sqref="D45">
    <cfRule type="cellIs" rank="0" priority="13" equalAverage="0" operator="lessThan" aboveAverage="0" dxfId="0" text="" percent="0" bottom="0">
      <formula>$E$45</formula>
    </cfRule>
  </conditionalFormatting>
  <conditionalFormatting sqref="E44">
    <cfRule type="cellIs" rank="0" priority="14" equalAverage="0" operator="lessThan" aboveAverage="0" dxfId="0" text="" percent="0" bottom="0">
      <formula>$D$44</formula>
    </cfRule>
  </conditionalFormatting>
  <conditionalFormatting sqref="D44">
    <cfRule type="cellIs" rank="0" priority="15" equalAverage="0" operator="lessThan" aboveAverage="0" dxfId="0" text="" percent="0" bottom="0">
      <formula>$E$44</formula>
    </cfRule>
  </conditionalFormatting>
  <conditionalFormatting sqref="E43">
    <cfRule type="cellIs" rank="0" priority="16" equalAverage="0" operator="lessThan" aboveAverage="0" dxfId="0" text="" percent="0" bottom="0">
      <formula>$D$43</formula>
    </cfRule>
  </conditionalFormatting>
  <conditionalFormatting sqref="D43">
    <cfRule type="cellIs" rank="0" priority="17" equalAverage="0" operator="lessThan" aboveAverage="0" dxfId="0" text="" percent="0" bottom="0">
      <formula>$E$43</formula>
    </cfRule>
  </conditionalFormatting>
  <conditionalFormatting sqref="E42">
    <cfRule type="cellIs" rank="0" priority="18" equalAverage="0" operator="lessThan" aboveAverage="0" dxfId="0" text="" percent="0" bottom="0">
      <formula>$D$42</formula>
    </cfRule>
  </conditionalFormatting>
  <conditionalFormatting sqref="D42">
    <cfRule type="cellIs" rank="0" priority="19" equalAverage="0" operator="lessThan" aboveAverage="0" dxfId="0" text="" percent="0" bottom="0">
      <formula>$E$42</formula>
    </cfRule>
  </conditionalFormatting>
  <conditionalFormatting sqref="E41">
    <cfRule type="cellIs" rank="0" priority="20" equalAverage="0" operator="lessThan" aboveAverage="0" dxfId="0" text="" percent="0" bottom="0">
      <formula>$D$41</formula>
    </cfRule>
  </conditionalFormatting>
  <conditionalFormatting sqref="D41">
    <cfRule type="cellIs" rank="0" priority="21" equalAverage="0" operator="lessThan" aboveAverage="0" dxfId="0" text="" percent="0" bottom="0">
      <formula>$E$41</formula>
    </cfRule>
  </conditionalFormatting>
  <conditionalFormatting sqref="E40">
    <cfRule type="cellIs" rank="0" priority="22" equalAverage="0" operator="lessThan" aboveAverage="0" dxfId="0" text="" percent="0" bottom="0">
      <formula>$D$40</formula>
    </cfRule>
  </conditionalFormatting>
  <conditionalFormatting sqref="D40">
    <cfRule type="cellIs" rank="0" priority="23" equalAverage="0" operator="lessThan" aboveAverage="0" dxfId="0" text="" percent="0" bottom="0">
      <formula>$E$40</formula>
    </cfRule>
  </conditionalFormatting>
  <conditionalFormatting sqref="E39">
    <cfRule type="cellIs" rank="0" priority="24" equalAverage="0" operator="lessThan" aboveAverage="0" dxfId="0" text="" percent="0" bottom="0">
      <formula>$D$39</formula>
    </cfRule>
  </conditionalFormatting>
  <conditionalFormatting sqref="D39">
    <cfRule type="cellIs" rank="0" priority="25" equalAverage="0" operator="lessThan" aboveAverage="0" dxfId="0" text="" percent="0" bottom="0">
      <formula>$E$39</formula>
    </cfRule>
  </conditionalFormatting>
  <conditionalFormatting sqref="E38">
    <cfRule type="cellIs" rank="0" priority="26" equalAverage="0" operator="lessThan" aboveAverage="0" dxfId="0" text="" percent="0" bottom="0">
      <formula>$D$38</formula>
    </cfRule>
  </conditionalFormatting>
  <conditionalFormatting sqref="D38">
    <cfRule type="cellIs" rank="0" priority="27" equalAverage="0" operator="lessThan" aboveAverage="0" dxfId="0" text="" percent="0" bottom="0">
      <formula>$E$38</formula>
    </cfRule>
  </conditionalFormatting>
  <conditionalFormatting sqref="E37">
    <cfRule type="cellIs" rank="0" priority="28" equalAverage="0" operator="lessThan" aboveAverage="0" dxfId="0" text="" percent="0" bottom="0">
      <formula>$D$37</formula>
    </cfRule>
  </conditionalFormatting>
  <conditionalFormatting sqref="D37">
    <cfRule type="cellIs" rank="0" priority="29" equalAverage="0" operator="lessThan" aboveAverage="0" dxfId="0" text="" percent="0" bottom="0">
      <formula>$E$37</formula>
    </cfRule>
  </conditionalFormatting>
  <conditionalFormatting sqref="E36">
    <cfRule type="cellIs" rank="0" priority="30" equalAverage="0" operator="lessThan" aboveAverage="0" dxfId="0" text="" percent="0" bottom="0">
      <formula>$D$36</formula>
    </cfRule>
  </conditionalFormatting>
  <conditionalFormatting sqref="D36">
    <cfRule type="cellIs" rank="0" priority="31" equalAverage="0" operator="lessThan" aboveAverage="0" dxfId="0" text="" percent="0" bottom="0">
      <formula>$E$36</formula>
    </cfRule>
  </conditionalFormatting>
  <conditionalFormatting sqref="E35">
    <cfRule type="cellIs" rank="0" priority="32" equalAverage="0" operator="lessThan" aboveAverage="0" dxfId="0" text="" percent="0" bottom="0">
      <formula>$D$35</formula>
    </cfRule>
  </conditionalFormatting>
  <conditionalFormatting sqref="D35">
    <cfRule type="cellIs" rank="0" priority="33" equalAverage="0" operator="lessThan" aboveAverage="0" dxfId="0" text="" percent="0" bottom="0">
      <formula>$E$35</formula>
    </cfRule>
  </conditionalFormatting>
  <conditionalFormatting sqref="E34">
    <cfRule type="cellIs" rank="0" priority="34" equalAverage="0" operator="lessThan" aboveAverage="0" dxfId="0" text="" percent="0" bottom="0">
      <formula>$D$34</formula>
    </cfRule>
  </conditionalFormatting>
  <conditionalFormatting sqref="D34">
    <cfRule type="cellIs" rank="0" priority="35" equalAverage="0" operator="lessThan" aboveAverage="0" dxfId="0" text="" percent="0" bottom="0">
      <formula>$E$34</formula>
    </cfRule>
  </conditionalFormatting>
  <conditionalFormatting sqref="E33">
    <cfRule type="cellIs" rank="0" priority="36" equalAverage="0" operator="lessThan" aboveAverage="0" dxfId="0" text="" percent="0" bottom="0">
      <formula>$D$33</formula>
    </cfRule>
  </conditionalFormatting>
  <conditionalFormatting sqref="D33">
    <cfRule type="cellIs" rank="0" priority="37" equalAverage="0" operator="lessThan" aboveAverage="0" dxfId="0" text="" percent="0" bottom="0">
      <formula>$E$33</formula>
    </cfRule>
  </conditionalFormatting>
  <conditionalFormatting sqref="E32">
    <cfRule type="cellIs" rank="0" priority="38" equalAverage="0" operator="lessThan" aboveAverage="0" dxfId="0" text="" percent="0" bottom="0">
      <formula>$D$32</formula>
    </cfRule>
  </conditionalFormatting>
  <conditionalFormatting sqref="D32">
    <cfRule type="cellIs" rank="0" priority="39" equalAverage="0" operator="lessThan" aboveAverage="0" dxfId="0" text="" percent="0" bottom="0">
      <formula>$E$32</formula>
    </cfRule>
  </conditionalFormatting>
  <conditionalFormatting sqref="E31">
    <cfRule type="cellIs" rank="0" priority="40" equalAverage="0" operator="lessThan" aboveAverage="0" dxfId="0" text="" percent="0" bottom="0">
      <formula>$D$31</formula>
    </cfRule>
  </conditionalFormatting>
  <conditionalFormatting sqref="D31">
    <cfRule type="cellIs" rank="0" priority="41" equalAverage="0" operator="lessThan" aboveAverage="0" dxfId="0" text="" percent="0" bottom="0">
      <formula>$E$31</formula>
    </cfRule>
  </conditionalFormatting>
  <conditionalFormatting sqref="E30">
    <cfRule type="cellIs" rank="0" priority="42" equalAverage="0" operator="lessThan" aboveAverage="0" dxfId="0" text="" percent="0" bottom="0">
      <formula>$D$30</formula>
    </cfRule>
  </conditionalFormatting>
  <conditionalFormatting sqref="D30">
    <cfRule type="cellIs" rank="0" priority="43" equalAverage="0" operator="lessThan" aboveAverage="0" dxfId="0" text="" percent="0" bottom="0">
      <formula>$E$30</formula>
    </cfRule>
  </conditionalFormatting>
  <conditionalFormatting sqref="E29">
    <cfRule type="cellIs" rank="0" priority="44" equalAverage="0" operator="lessThan" aboveAverage="0" dxfId="0" text="" percent="0" bottom="0">
      <formula>$D$29</formula>
    </cfRule>
  </conditionalFormatting>
  <conditionalFormatting sqref="D29">
    <cfRule type="cellIs" rank="0" priority="45" equalAverage="0" operator="lessThan" aboveAverage="0" dxfId="0" text="" percent="0" bottom="0">
      <formula>$E$29</formula>
    </cfRule>
  </conditionalFormatting>
  <conditionalFormatting sqref="E28">
    <cfRule type="cellIs" rank="0" priority="46" equalAverage="0" operator="lessThan" aboveAverage="0" dxfId="0" text="" percent="0" bottom="0">
      <formula>$D$28</formula>
    </cfRule>
  </conditionalFormatting>
  <conditionalFormatting sqref="D28">
    <cfRule type="cellIs" rank="0" priority="47" equalAverage="0" operator="lessThan" aboveAverage="0" dxfId="0" text="" percent="0" bottom="0">
      <formula>$E$28</formula>
    </cfRule>
  </conditionalFormatting>
  <conditionalFormatting sqref="E27">
    <cfRule type="cellIs" rank="0" priority="48" equalAverage="0" operator="lessThan" aboveAverage="0" dxfId="0" text="" percent="0" bottom="0">
      <formula>$D$27</formula>
    </cfRule>
  </conditionalFormatting>
  <conditionalFormatting sqref="D27">
    <cfRule type="cellIs" rank="0" priority="49" equalAverage="0" operator="lessThan" aboveAverage="0" dxfId="0" text="" percent="0" bottom="0">
      <formula>$E$27</formula>
    </cfRule>
  </conditionalFormatting>
  <conditionalFormatting sqref="E26">
    <cfRule type="cellIs" rank="0" priority="50" equalAverage="0" operator="lessThan" aboveAverage="0" dxfId="0" text="" percent="0" bottom="0">
      <formula>$D$26</formula>
    </cfRule>
  </conditionalFormatting>
  <conditionalFormatting sqref="D26">
    <cfRule type="cellIs" rank="0" priority="51" equalAverage="0" operator="lessThan" aboveAverage="0" dxfId="0" text="" percent="0" bottom="0">
      <formula>$E$26</formula>
    </cfRule>
  </conditionalFormatting>
  <conditionalFormatting sqref="E25">
    <cfRule type="cellIs" rank="0" priority="52" equalAverage="0" operator="lessThan" aboveAverage="0" dxfId="0" text="" percent="0" bottom="0">
      <formula>$D$25</formula>
    </cfRule>
  </conditionalFormatting>
  <conditionalFormatting sqref="D25">
    <cfRule type="cellIs" rank="0" priority="53" equalAverage="0" operator="lessThan" aboveAverage="0" dxfId="0" text="" percent="0" bottom="0">
      <formula>$E$25</formula>
    </cfRule>
  </conditionalFormatting>
  <conditionalFormatting sqref="E24">
    <cfRule type="cellIs" rank="0" priority="54" equalAverage="0" operator="lessThan" aboveAverage="0" dxfId="0" text="" percent="0" bottom="0">
      <formula>$D$24</formula>
    </cfRule>
  </conditionalFormatting>
  <conditionalFormatting sqref="D24">
    <cfRule type="cellIs" rank="0" priority="55" equalAverage="0" operator="lessThan" aboveAverage="0" dxfId="0" text="" percent="0" bottom="0">
      <formula>$E$24</formula>
    </cfRule>
  </conditionalFormatting>
  <conditionalFormatting sqref="E23">
    <cfRule type="cellIs" rank="0" priority="56" equalAverage="0" operator="lessThan" aboveAverage="0" dxfId="0" text="" percent="0" bottom="0">
      <formula>$D$23</formula>
    </cfRule>
  </conditionalFormatting>
  <conditionalFormatting sqref="D23">
    <cfRule type="cellIs" rank="0" priority="57" equalAverage="0" operator="lessThan" aboveAverage="0" dxfId="0" text="" percent="0" bottom="0">
      <formula>$E$23</formula>
    </cfRule>
  </conditionalFormatting>
  <conditionalFormatting sqref="E22">
    <cfRule type="cellIs" rank="0" priority="58" equalAverage="0" operator="lessThan" aboveAverage="0" dxfId="0" text="" percent="0" bottom="0">
      <formula>$D$22</formula>
    </cfRule>
  </conditionalFormatting>
  <conditionalFormatting sqref="D22">
    <cfRule type="cellIs" rank="0" priority="59" equalAverage="0" operator="lessThan" aboveAverage="0" dxfId="0" text="" percent="0" bottom="0">
      <formula>$E$22</formula>
    </cfRule>
  </conditionalFormatting>
  <conditionalFormatting sqref="E21">
    <cfRule type="cellIs" rank="0" priority="60" equalAverage="0" operator="lessThan" aboveAverage="0" dxfId="0" text="" percent="0" bottom="0">
      <formula>$D$21</formula>
    </cfRule>
  </conditionalFormatting>
  <conditionalFormatting sqref="D21">
    <cfRule type="cellIs" rank="0" priority="61" equalAverage="0" operator="lessThan" aboveAverage="0" dxfId="0" text="" percent="0" bottom="0">
      <formula>$E$21</formula>
    </cfRule>
  </conditionalFormatting>
  <conditionalFormatting sqref="E20">
    <cfRule type="cellIs" rank="0" priority="62" equalAverage="0" operator="lessThan" aboveAverage="0" dxfId="0" text="" percent="0" bottom="0">
      <formula>$D$20</formula>
    </cfRule>
  </conditionalFormatting>
  <conditionalFormatting sqref="D20">
    <cfRule type="cellIs" rank="0" priority="63" equalAverage="0" operator="lessThan" aboveAverage="0" dxfId="0" text="" percent="0" bottom="0">
      <formula>$E$20</formula>
    </cfRule>
  </conditionalFormatting>
  <conditionalFormatting sqref="E19">
    <cfRule type="cellIs" rank="0" priority="64" equalAverage="0" operator="lessThan" aboveAverage="0" dxfId="0" text="" percent="0" bottom="0">
      <formula>$D$19</formula>
    </cfRule>
  </conditionalFormatting>
  <conditionalFormatting sqref="D19">
    <cfRule type="cellIs" rank="0" priority="65" equalAverage="0" operator="lessThan" aboveAverage="0" dxfId="0" text="" percent="0" bottom="0">
      <formula>$E$19</formula>
    </cfRule>
  </conditionalFormatting>
  <conditionalFormatting sqref="E18">
    <cfRule type="cellIs" rank="0" priority="66" equalAverage="0" operator="lessThan" aboveAverage="0" dxfId="0" text="" percent="0" bottom="0">
      <formula>$D$18</formula>
    </cfRule>
  </conditionalFormatting>
  <conditionalFormatting sqref="D18">
    <cfRule type="cellIs" rank="0" priority="67" equalAverage="0" operator="lessThan" aboveAverage="0" dxfId="0" text="" percent="0" bottom="0">
      <formula>$E$18</formula>
    </cfRule>
  </conditionalFormatting>
  <conditionalFormatting sqref="E17">
    <cfRule type="cellIs" rank="0" priority="68" equalAverage="0" operator="lessThan" aboveAverage="0" dxfId="0" text="" percent="0" bottom="0">
      <formula>$D$17</formula>
    </cfRule>
  </conditionalFormatting>
  <conditionalFormatting sqref="D17">
    <cfRule type="cellIs" rank="0" priority="69" equalAverage="0" operator="lessThan" aboveAverage="0" dxfId="0" text="" percent="0" bottom="0">
      <formula>$E$17</formula>
    </cfRule>
  </conditionalFormatting>
  <conditionalFormatting sqref="E16">
    <cfRule type="cellIs" rank="0" priority="70" equalAverage="0" operator="lessThan" aboveAverage="0" dxfId="0" text="" percent="0" bottom="0">
      <formula>$D$16</formula>
    </cfRule>
  </conditionalFormatting>
  <conditionalFormatting sqref="D16">
    <cfRule type="cellIs" rank="0" priority="71" equalAverage="0" operator="lessThan" aboveAverage="0" dxfId="0" text="" percent="0" bottom="0">
      <formula>$E$16</formula>
    </cfRule>
  </conditionalFormatting>
  <conditionalFormatting sqref="E15">
    <cfRule type="cellIs" rank="0" priority="72" equalAverage="0" operator="lessThan" aboveAverage="0" dxfId="0" text="" percent="0" bottom="0">
      <formula>$D$15</formula>
    </cfRule>
  </conditionalFormatting>
  <conditionalFormatting sqref="D15">
    <cfRule type="cellIs" rank="0" priority="73" equalAverage="0" operator="lessThan" aboveAverage="0" dxfId="0" text="" percent="0" bottom="0">
      <formula>$E$15</formula>
    </cfRule>
  </conditionalFormatting>
  <conditionalFormatting sqref="E14">
    <cfRule type="cellIs" rank="0" priority="74" equalAverage="0" operator="lessThan" aboveAverage="0" dxfId="0" text="" percent="0" bottom="0">
      <formula>$D$14</formula>
    </cfRule>
  </conditionalFormatting>
  <conditionalFormatting sqref="D14">
    <cfRule type="cellIs" rank="0" priority="75" equalAverage="0" operator="lessThan" aboveAverage="0" dxfId="0" text="" percent="0" bottom="0">
      <formula>$E$14</formula>
    </cfRule>
  </conditionalFormatting>
  <conditionalFormatting sqref="E13">
    <cfRule type="cellIs" rank="0" priority="76" equalAverage="0" operator="lessThan" aboveAverage="0" dxfId="0" text="" percent="0" bottom="0">
      <formula>$D$13</formula>
    </cfRule>
  </conditionalFormatting>
  <conditionalFormatting sqref="D13">
    <cfRule type="cellIs" rank="0" priority="77" equalAverage="0" operator="lessThan" aboveAverage="0" dxfId="0" text="" percent="0" bottom="0">
      <formula>$E$13</formula>
    </cfRule>
  </conditionalFormatting>
  <conditionalFormatting sqref="E12">
    <cfRule type="cellIs" rank="0" priority="78" equalAverage="0" operator="lessThan" aboveAverage="0" dxfId="0" text="" percent="0" bottom="0">
      <formula>$D$12</formula>
    </cfRule>
  </conditionalFormatting>
  <conditionalFormatting sqref="D12">
    <cfRule type="cellIs" rank="0" priority="79" equalAverage="0" operator="lessThan" aboveAverage="0" dxfId="0" text="" percent="0" bottom="0">
      <formula>$E$12</formula>
    </cfRule>
  </conditionalFormatting>
  <conditionalFormatting sqref="E11">
    <cfRule type="cellIs" rank="0" priority="80" equalAverage="0" operator="lessThan" aboveAverage="0" dxfId="0" text="" percent="0" bottom="0">
      <formula>$D$11</formula>
    </cfRule>
  </conditionalFormatting>
  <conditionalFormatting sqref="D11">
    <cfRule type="cellIs" rank="0" priority="81" equalAverage="0" operator="lessThan" aboveAverage="0" dxfId="0" text="" percent="0" bottom="0">
      <formula>$E$11</formula>
    </cfRule>
  </conditionalFormatting>
  <conditionalFormatting sqref="E10">
    <cfRule type="cellIs" rank="0" priority="82" equalAverage="0" operator="lessThan" aboveAverage="0" dxfId="0" text="" percent="0" bottom="0">
      <formula>$D$10</formula>
    </cfRule>
  </conditionalFormatting>
  <conditionalFormatting sqref="D10">
    <cfRule type="cellIs" rank="0" priority="83" equalAverage="0" operator="lessThan" aboveAverage="0" dxfId="0" text="" percent="0" bottom="0">
      <formula>$E$10</formula>
    </cfRule>
  </conditionalFormatting>
  <conditionalFormatting sqref="E9">
    <cfRule type="cellIs" rank="0" priority="84" equalAverage="0" operator="lessThan" aboveAverage="0" dxfId="0" text="" percent="0" bottom="0">
      <formula>$D$9</formula>
    </cfRule>
  </conditionalFormatting>
  <conditionalFormatting sqref="D9">
    <cfRule type="cellIs" rank="0" priority="85" equalAverage="0" operator="lessThan" aboveAverage="0" dxfId="0" text="" percent="0" bottom="0">
      <formula>$E$9</formula>
    </cfRule>
  </conditionalFormatting>
  <conditionalFormatting sqref="E8">
    <cfRule type="cellIs" rank="0" priority="86" equalAverage="0" operator="lessThan" aboveAverage="0" dxfId="0" text="" percent="0" bottom="0">
      <formula>$D$8</formula>
    </cfRule>
  </conditionalFormatting>
  <conditionalFormatting sqref="D8">
    <cfRule type="cellIs" rank="0" priority="87" equalAverage="0" operator="lessThan" aboveAverage="0" dxfId="0" text="" percent="0" bottom="0">
      <formula>$E$8</formula>
    </cfRule>
  </conditionalFormatting>
  <conditionalFormatting sqref="E7">
    <cfRule type="cellIs" rank="0" priority="88" equalAverage="0" operator="lessThan" aboveAverage="0" dxfId="0" text="" percent="0" bottom="0">
      <formula>$D$7</formula>
    </cfRule>
  </conditionalFormatting>
  <conditionalFormatting sqref="D7">
    <cfRule type="cellIs" rank="0" priority="89" equalAverage="0" operator="lessThan" aboveAverage="0" dxfId="0" text="" percent="0" bottom="0">
      <formula>$E$7</formula>
    </cfRule>
  </conditionalFormatting>
  <conditionalFormatting sqref="E6">
    <cfRule type="cellIs" rank="0" priority="90" equalAverage="0" operator="lessThan" aboveAverage="0" dxfId="0" text="" percent="0" bottom="0">
      <formula>$D$6</formula>
    </cfRule>
  </conditionalFormatting>
  <conditionalFormatting sqref="D6">
    <cfRule type="cellIs" rank="0" priority="91" equalAverage="0" operator="lessThan" aboveAverage="0" dxfId="0" text="" percent="0" bottom="0">
      <formula>$E$6</formula>
    </cfRule>
  </conditionalFormatting>
  <conditionalFormatting sqref="E5">
    <cfRule type="cellIs" rank="0" priority="92" equalAverage="0" operator="lessThan" aboveAverage="0" dxfId="0" text="" percent="0" bottom="0">
      <formula>$D$5</formula>
    </cfRule>
  </conditionalFormatting>
  <conditionalFormatting sqref="D5">
    <cfRule type="cellIs" rank="0" priority="93" equalAverage="0" operator="lessThan" aboveAverage="0" dxfId="0" text="" percent="0" bottom="0">
      <formula>$E$5</formula>
    </cfRule>
  </conditionalFormatting>
  <conditionalFormatting sqref="E4">
    <cfRule type="cellIs" rank="0" priority="94" equalAverage="0" operator="lessThan" aboveAverage="0" dxfId="0" text="" percent="0" bottom="0">
      <formula>$D$4</formula>
    </cfRule>
  </conditionalFormatting>
  <conditionalFormatting sqref="D4">
    <cfRule type="cellIs" rank="0" priority="95" equalAverage="0" operator="lessThan" aboveAverage="0" dxfId="0" text="" percent="0" bottom="0">
      <formula>$E$4</formula>
    </cfRule>
  </conditionalFormatting>
  <conditionalFormatting sqref="C50">
    <cfRule type="cellIs" rank="0" priority="96" equalAverage="0" operator="lessThan" aboveAverage="0" dxfId="0" text="" percent="0" bottom="0">
      <formula>$B$50</formula>
    </cfRule>
  </conditionalFormatting>
  <conditionalFormatting sqref="B50">
    <cfRule type="cellIs" rank="0" priority="97" equalAverage="0" operator="lessThan" aboveAverage="0" dxfId="0" text="" percent="0" bottom="0">
      <formula>$C$50</formula>
    </cfRule>
  </conditionalFormatting>
  <conditionalFormatting sqref="C49">
    <cfRule type="cellIs" rank="0" priority="98" equalAverage="0" operator="lessThan" aboveAverage="0" dxfId="0" text="" percent="0" bottom="0">
      <formula>$B$49</formula>
    </cfRule>
  </conditionalFormatting>
  <conditionalFormatting sqref="B49">
    <cfRule type="cellIs" rank="0" priority="99" equalAverage="0" operator="lessThan" aboveAverage="0" dxfId="0" text="" percent="0" bottom="0">
      <formula>$C$49</formula>
    </cfRule>
  </conditionalFormatting>
  <conditionalFormatting sqref="C48">
    <cfRule type="cellIs" rank="0" priority="100" equalAverage="0" operator="lessThan" aboveAverage="0" dxfId="0" text="" percent="0" bottom="0">
      <formula>$B$48</formula>
    </cfRule>
  </conditionalFormatting>
  <conditionalFormatting sqref="B48">
    <cfRule type="cellIs" rank="0" priority="101" equalAverage="0" operator="lessThan" aboveAverage="0" dxfId="0" text="" percent="0" bottom="0">
      <formula>$C$48</formula>
    </cfRule>
  </conditionalFormatting>
  <conditionalFormatting sqref="C47">
    <cfRule type="cellIs" rank="0" priority="102" equalAverage="0" operator="lessThan" aboveAverage="0" dxfId="0" text="" percent="0" bottom="0">
      <formula>$B$47</formula>
    </cfRule>
  </conditionalFormatting>
  <conditionalFormatting sqref="B47">
    <cfRule type="cellIs" rank="0" priority="103" equalAverage="0" operator="lessThan" aboveAverage="0" dxfId="0" text="" percent="0" bottom="0">
      <formula>$C$47</formula>
    </cfRule>
  </conditionalFormatting>
  <conditionalFormatting sqref="C46">
    <cfRule type="cellIs" rank="0" priority="104" equalAverage="0" operator="lessThan" aboveAverage="0" dxfId="0" text="" percent="0" bottom="0">
      <formula>$B$46</formula>
    </cfRule>
  </conditionalFormatting>
  <conditionalFormatting sqref="B46">
    <cfRule type="cellIs" rank="0" priority="105" equalAverage="0" operator="lessThan" aboveAverage="0" dxfId="0" text="" percent="0" bottom="0">
      <formula>$C$46</formula>
    </cfRule>
  </conditionalFormatting>
  <conditionalFormatting sqref="C45">
    <cfRule type="cellIs" rank="0" priority="106" equalAverage="0" operator="lessThan" aboveAverage="0" dxfId="0" text="" percent="0" bottom="0">
      <formula>$B$45</formula>
    </cfRule>
  </conditionalFormatting>
  <conditionalFormatting sqref="B45">
    <cfRule type="cellIs" rank="0" priority="107" equalAverage="0" operator="lessThan" aboveAverage="0" dxfId="0" text="" percent="0" bottom="0">
      <formula>$C$45</formula>
    </cfRule>
  </conditionalFormatting>
  <conditionalFormatting sqref="C44">
    <cfRule type="cellIs" rank="0" priority="108" equalAverage="0" operator="lessThan" aboveAverage="0" dxfId="0" text="" percent="0" bottom="0">
      <formula>$B$44</formula>
    </cfRule>
  </conditionalFormatting>
  <conditionalFormatting sqref="B44">
    <cfRule type="cellIs" rank="0" priority="109" equalAverage="0" operator="lessThan" aboveAverage="0" dxfId="0" text="" percent="0" bottom="0">
      <formula>$C$44</formula>
    </cfRule>
  </conditionalFormatting>
  <conditionalFormatting sqref="C43">
    <cfRule type="cellIs" rank="0" priority="110" equalAverage="0" operator="lessThan" aboveAverage="0" dxfId="0" text="" percent="0" bottom="0">
      <formula>$B$43</formula>
    </cfRule>
  </conditionalFormatting>
  <conditionalFormatting sqref="B43">
    <cfRule type="cellIs" rank="0" priority="111" equalAverage="0" operator="lessThan" aboveAverage="0" dxfId="0" text="" percent="0" bottom="0">
      <formula>$C$43</formula>
    </cfRule>
  </conditionalFormatting>
  <conditionalFormatting sqref="C42">
    <cfRule type="cellIs" rank="0" priority="112" equalAverage="0" operator="lessThan" aboveAverage="0" dxfId="0" text="" percent="0" bottom="0">
      <formula>$B$42</formula>
    </cfRule>
  </conditionalFormatting>
  <conditionalFormatting sqref="B42">
    <cfRule type="cellIs" rank="0" priority="113" equalAverage="0" operator="lessThan" aboveAverage="0" dxfId="0" text="" percent="0" bottom="0">
      <formula>$C$42</formula>
    </cfRule>
  </conditionalFormatting>
  <conditionalFormatting sqref="C41">
    <cfRule type="cellIs" rank="0" priority="114" equalAverage="0" operator="lessThan" aboveAverage="0" dxfId="0" text="" percent="0" bottom="0">
      <formula>$B$41</formula>
    </cfRule>
  </conditionalFormatting>
  <conditionalFormatting sqref="B41">
    <cfRule type="cellIs" rank="0" priority="115" equalAverage="0" operator="lessThan" aboveAverage="0" dxfId="0" text="" percent="0" bottom="0">
      <formula>$C$41</formula>
    </cfRule>
  </conditionalFormatting>
  <conditionalFormatting sqref="C40">
    <cfRule type="cellIs" rank="0" priority="116" equalAverage="0" operator="lessThan" aboveAverage="0" dxfId="0" text="" percent="0" bottom="0">
      <formula>$B$40</formula>
    </cfRule>
  </conditionalFormatting>
  <conditionalFormatting sqref="B40">
    <cfRule type="cellIs" rank="0" priority="117" equalAverage="0" operator="lessThan" aboveAverage="0" dxfId="0" text="" percent="0" bottom="0">
      <formula>$C$40</formula>
    </cfRule>
  </conditionalFormatting>
  <conditionalFormatting sqref="C39">
    <cfRule type="cellIs" rank="0" priority="118" equalAverage="0" operator="lessThan" aboveAverage="0" dxfId="0" text="" percent="0" bottom="0">
      <formula>$B$39</formula>
    </cfRule>
  </conditionalFormatting>
  <conditionalFormatting sqref="B39">
    <cfRule type="cellIs" rank="0" priority="119" equalAverage="0" operator="lessThan" aboveAverage="0" dxfId="0" text="" percent="0" bottom="0">
      <formula>$C$39</formula>
    </cfRule>
  </conditionalFormatting>
  <conditionalFormatting sqref="C38">
    <cfRule type="cellIs" rank="0" priority="120" equalAverage="0" operator="lessThan" aboveAverage="0" dxfId="0" text="" percent="0" bottom="0">
      <formula>$B$38</formula>
    </cfRule>
  </conditionalFormatting>
  <conditionalFormatting sqref="B38">
    <cfRule type="cellIs" rank="0" priority="121" equalAverage="0" operator="lessThan" aboveAverage="0" dxfId="0" text="" percent="0" bottom="0">
      <formula>$C$38</formula>
    </cfRule>
  </conditionalFormatting>
  <conditionalFormatting sqref="C37">
    <cfRule type="cellIs" rank="0" priority="122" equalAverage="0" operator="lessThan" aboveAverage="0" dxfId="0" text="" percent="0" bottom="0">
      <formula>$B$37</formula>
    </cfRule>
  </conditionalFormatting>
  <conditionalFormatting sqref="B37">
    <cfRule type="cellIs" rank="0" priority="123" equalAverage="0" operator="lessThan" aboveAverage="0" dxfId="0" text="" percent="0" bottom="0">
      <formula>$C$37</formula>
    </cfRule>
  </conditionalFormatting>
  <conditionalFormatting sqref="C36">
    <cfRule type="cellIs" rank="0" priority="124" equalAverage="0" operator="lessThan" aboveAverage="0" dxfId="0" text="" percent="0" bottom="0">
      <formula>$B$36</formula>
    </cfRule>
  </conditionalFormatting>
  <conditionalFormatting sqref="B36">
    <cfRule type="cellIs" rank="0" priority="125" equalAverage="0" operator="lessThan" aboveAverage="0" dxfId="0" text="" percent="0" bottom="0">
      <formula>$C$36</formula>
    </cfRule>
  </conditionalFormatting>
  <conditionalFormatting sqref="C35">
    <cfRule type="cellIs" rank="0" priority="126" equalAverage="0" operator="lessThan" aboveAverage="0" dxfId="0" text="" percent="0" bottom="0">
      <formula>$B$35</formula>
    </cfRule>
  </conditionalFormatting>
  <conditionalFormatting sqref="B35">
    <cfRule type="cellIs" rank="0" priority="127" equalAverage="0" operator="lessThan" aboveAverage="0" dxfId="0" text="" percent="0" bottom="0">
      <formula>$C$35</formula>
    </cfRule>
  </conditionalFormatting>
  <conditionalFormatting sqref="C34">
    <cfRule type="cellIs" rank="0" priority="128" equalAverage="0" operator="lessThan" aboveAverage="0" dxfId="0" text="" percent="0" bottom="0">
      <formula>$B$34</formula>
    </cfRule>
  </conditionalFormatting>
  <conditionalFormatting sqref="B34">
    <cfRule type="cellIs" rank="0" priority="129" equalAverage="0" operator="lessThan" aboveAverage="0" dxfId="0" text="" percent="0" bottom="0">
      <formula>$C$34</formula>
    </cfRule>
  </conditionalFormatting>
  <conditionalFormatting sqref="C33">
    <cfRule type="cellIs" rank="0" priority="130" equalAverage="0" operator="lessThan" aboveAverage="0" dxfId="0" text="" percent="0" bottom="0">
      <formula>$B$33</formula>
    </cfRule>
  </conditionalFormatting>
  <conditionalFormatting sqref="B33">
    <cfRule type="cellIs" rank="0" priority="131" equalAverage="0" operator="lessThan" aboveAverage="0" dxfId="0" text="" percent="0" bottom="0">
      <formula>$C$33</formula>
    </cfRule>
  </conditionalFormatting>
  <conditionalFormatting sqref="C32">
    <cfRule type="cellIs" rank="0" priority="132" equalAverage="0" operator="lessThan" aboveAverage="0" dxfId="0" text="" percent="0" bottom="0">
      <formula>$B$32</formula>
    </cfRule>
  </conditionalFormatting>
  <conditionalFormatting sqref="B32">
    <cfRule type="cellIs" rank="0" priority="133" equalAverage="0" operator="lessThan" aboveAverage="0" dxfId="0" text="" percent="0" bottom="0">
      <formula>$C$32</formula>
    </cfRule>
  </conditionalFormatting>
  <conditionalFormatting sqref="C31">
    <cfRule type="cellIs" rank="0" priority="134" equalAverage="0" operator="lessThan" aboveAverage="0" dxfId="0" text="" percent="0" bottom="0">
      <formula>$B$31</formula>
    </cfRule>
  </conditionalFormatting>
  <conditionalFormatting sqref="B31">
    <cfRule type="cellIs" rank="0" priority="135" equalAverage="0" operator="lessThan" aboveAverage="0" dxfId="0" text="" percent="0" bottom="0">
      <formula>$C$31</formula>
    </cfRule>
  </conditionalFormatting>
  <conditionalFormatting sqref="C30">
    <cfRule type="cellIs" rank="0" priority="136" equalAverage="0" operator="lessThan" aboveAverage="0" dxfId="0" text="" percent="0" bottom="0">
      <formula>$B$30</formula>
    </cfRule>
  </conditionalFormatting>
  <conditionalFormatting sqref="B30">
    <cfRule type="cellIs" rank="0" priority="137" equalAverage="0" operator="lessThan" aboveAverage="0" dxfId="0" text="" percent="0" bottom="0">
      <formula>$C$30</formula>
    </cfRule>
  </conditionalFormatting>
  <conditionalFormatting sqref="C29">
    <cfRule type="cellIs" rank="0" priority="138" equalAverage="0" operator="lessThan" aboveAverage="0" dxfId="0" text="" percent="0" bottom="0">
      <formula>$B$29</formula>
    </cfRule>
  </conditionalFormatting>
  <conditionalFormatting sqref="B29">
    <cfRule type="cellIs" rank="0" priority="139" equalAverage="0" operator="lessThan" aboveAverage="0" dxfId="0" text="" percent="0" bottom="0">
      <formula>$C$29</formula>
    </cfRule>
  </conditionalFormatting>
  <conditionalFormatting sqref="C28">
    <cfRule type="cellIs" rank="0" priority="140" equalAverage="0" operator="lessThan" aboveAverage="0" dxfId="0" text="" percent="0" bottom="0">
      <formula>$B$28</formula>
    </cfRule>
  </conditionalFormatting>
  <conditionalFormatting sqref="B28">
    <cfRule type="cellIs" rank="0" priority="141" equalAverage="0" operator="lessThan" aboveAverage="0" dxfId="0" text="" percent="0" bottom="0">
      <formula>$C$28</formula>
    </cfRule>
  </conditionalFormatting>
  <conditionalFormatting sqref="C27">
    <cfRule type="cellIs" rank="0" priority="142" equalAverage="0" operator="lessThan" aboveAverage="0" dxfId="0" text="" percent="0" bottom="0">
      <formula>$B$27</formula>
    </cfRule>
  </conditionalFormatting>
  <conditionalFormatting sqref="B27">
    <cfRule type="cellIs" rank="0" priority="143" equalAverage="0" operator="lessThan" aboveAverage="0" dxfId="0" text="" percent="0" bottom="0">
      <formula>$C$27</formula>
    </cfRule>
  </conditionalFormatting>
  <conditionalFormatting sqref="C26">
    <cfRule type="cellIs" rank="0" priority="144" equalAverage="0" operator="lessThan" aboveAverage="0" dxfId="0" text="" percent="0" bottom="0">
      <formula>$B$26</formula>
    </cfRule>
  </conditionalFormatting>
  <conditionalFormatting sqref="B26">
    <cfRule type="cellIs" rank="0" priority="145" equalAverage="0" operator="lessThan" aboveAverage="0" dxfId="0" text="" percent="0" bottom="0">
      <formula>$C$26</formula>
    </cfRule>
  </conditionalFormatting>
  <conditionalFormatting sqref="C25">
    <cfRule type="cellIs" rank="0" priority="146" equalAverage="0" operator="lessThan" aboveAverage="0" dxfId="0" text="" percent="0" bottom="0">
      <formula>$B$25</formula>
    </cfRule>
  </conditionalFormatting>
  <conditionalFormatting sqref="B25">
    <cfRule type="cellIs" rank="0" priority="147" equalAverage="0" operator="lessThan" aboveAverage="0" dxfId="0" text="" percent="0" bottom="0">
      <formula>$C$25</formula>
    </cfRule>
  </conditionalFormatting>
  <conditionalFormatting sqref="C24">
    <cfRule type="cellIs" rank="0" priority="148" equalAverage="0" operator="lessThan" aboveAverage="0" dxfId="0" text="" percent="0" bottom="0">
      <formula>$B$24</formula>
    </cfRule>
  </conditionalFormatting>
  <conditionalFormatting sqref="B24">
    <cfRule type="cellIs" rank="0" priority="149" equalAverage="0" operator="lessThan" aboveAverage="0" dxfId="0" text="" percent="0" bottom="0">
      <formula>$C$24</formula>
    </cfRule>
  </conditionalFormatting>
  <conditionalFormatting sqref="C23">
    <cfRule type="cellIs" rank="0" priority="150" equalAverage="0" operator="lessThan" aboveAverage="0" dxfId="0" text="" percent="0" bottom="0">
      <formula>$B$23</formula>
    </cfRule>
  </conditionalFormatting>
  <conditionalFormatting sqref="B23">
    <cfRule type="cellIs" rank="0" priority="151" equalAverage="0" operator="lessThan" aboveAverage="0" dxfId="0" text="" percent="0" bottom="0">
      <formula>$C$23</formula>
    </cfRule>
  </conditionalFormatting>
  <conditionalFormatting sqref="C22">
    <cfRule type="cellIs" rank="0" priority="152" equalAverage="0" operator="lessThan" aboveAverage="0" dxfId="0" text="" percent="0" bottom="0">
      <formula>$B$22</formula>
    </cfRule>
  </conditionalFormatting>
  <conditionalFormatting sqref="B22">
    <cfRule type="cellIs" rank="0" priority="153" equalAverage="0" operator="lessThan" aboveAverage="0" dxfId="0" text="" percent="0" bottom="0">
      <formula>$C$22</formula>
    </cfRule>
  </conditionalFormatting>
  <conditionalFormatting sqref="C21">
    <cfRule type="cellIs" rank="0" priority="154" equalAverage="0" operator="lessThan" aboveAverage="0" dxfId="0" text="" percent="0" bottom="0">
      <formula>$B$21</formula>
    </cfRule>
  </conditionalFormatting>
  <conditionalFormatting sqref="B21">
    <cfRule type="cellIs" rank="0" priority="155" equalAverage="0" operator="lessThan" aboveAverage="0" dxfId="0" text="" percent="0" bottom="0">
      <formula>$C$21</formula>
    </cfRule>
  </conditionalFormatting>
  <conditionalFormatting sqref="C20">
    <cfRule type="cellIs" rank="0" priority="156" equalAverage="0" operator="lessThan" aboveAverage="0" dxfId="0" text="" percent="0" bottom="0">
      <formula>$B$20</formula>
    </cfRule>
  </conditionalFormatting>
  <conditionalFormatting sqref="B20">
    <cfRule type="cellIs" rank="0" priority="157" equalAverage="0" operator="lessThan" aboveAverage="0" dxfId="0" text="" percent="0" bottom="0">
      <formula>$C$20</formula>
    </cfRule>
  </conditionalFormatting>
  <conditionalFormatting sqref="B19">
    <cfRule type="cellIs" rank="0" priority="158" equalAverage="0" operator="lessThan" aboveAverage="0" dxfId="0" text="" percent="0" bottom="0">
      <formula>$C$19</formula>
    </cfRule>
  </conditionalFormatting>
  <conditionalFormatting sqref="C19">
    <cfRule type="cellIs" rank="0" priority="159" equalAverage="0" operator="lessThan" aboveAverage="0" dxfId="0" text="" percent="0" bottom="0">
      <formula>$B$19</formula>
    </cfRule>
  </conditionalFormatting>
  <conditionalFormatting sqref="C18">
    <cfRule type="cellIs" rank="0" priority="160" equalAverage="0" operator="lessThan" aboveAverage="0" dxfId="0" text="" percent="0" bottom="0">
      <formula>$B$18</formula>
    </cfRule>
  </conditionalFormatting>
  <conditionalFormatting sqref="B18">
    <cfRule type="cellIs" rank="0" priority="161" equalAverage="0" operator="lessThan" aboveAverage="0" dxfId="0" text="" percent="0" bottom="0">
      <formula>$C$18</formula>
    </cfRule>
  </conditionalFormatting>
  <conditionalFormatting sqref="C17">
    <cfRule type="cellIs" rank="0" priority="162" equalAverage="0" operator="lessThan" aboveAverage="0" dxfId="0" text="" percent="0" bottom="0">
      <formula>$B$17</formula>
    </cfRule>
  </conditionalFormatting>
  <conditionalFormatting sqref="B17">
    <cfRule type="cellIs" rank="0" priority="163" equalAverage="0" operator="lessThan" aboveAverage="0" dxfId="0" text="" percent="0" bottom="0">
      <formula>$C$17</formula>
    </cfRule>
  </conditionalFormatting>
  <conditionalFormatting sqref="C16">
    <cfRule type="cellIs" rank="0" priority="164" equalAverage="0" operator="lessThan" aboveAverage="0" dxfId="0" text="" percent="0" bottom="0">
      <formula>$B$16</formula>
    </cfRule>
  </conditionalFormatting>
  <conditionalFormatting sqref="B16">
    <cfRule type="cellIs" rank="0" priority="165" equalAverage="0" operator="lessThan" aboveAverage="0" dxfId="0" text="" percent="0" bottom="0">
      <formula>$C$16</formula>
    </cfRule>
  </conditionalFormatting>
  <conditionalFormatting sqref="C15">
    <cfRule type="cellIs" rank="0" priority="166" equalAverage="0" operator="lessThan" aboveAverage="0" dxfId="0" text="" percent="0" bottom="0">
      <formula>$B$15</formula>
    </cfRule>
  </conditionalFormatting>
  <conditionalFormatting sqref="B15">
    <cfRule type="cellIs" rank="0" priority="167" equalAverage="0" operator="lessThan" aboveAverage="0" dxfId="0" text="" percent="0" bottom="0">
      <formula>$C$15</formula>
    </cfRule>
  </conditionalFormatting>
  <conditionalFormatting sqref="C14">
    <cfRule type="cellIs" rank="0" priority="168" equalAverage="0" operator="lessThan" aboveAverage="0" dxfId="0" text="" percent="0" bottom="0">
      <formula>$B$14</formula>
    </cfRule>
  </conditionalFormatting>
  <conditionalFormatting sqref="B14">
    <cfRule type="cellIs" rank="0" priority="169" equalAverage="0" operator="lessThan" aboveAverage="0" dxfId="0" text="" percent="0" bottom="0">
      <formula>$C$14</formula>
    </cfRule>
  </conditionalFormatting>
  <conditionalFormatting sqref="C13">
    <cfRule type="cellIs" rank="0" priority="170" equalAverage="0" operator="lessThan" aboveAverage="0" dxfId="0" text="" percent="0" bottom="0">
      <formula>$B$13</formula>
    </cfRule>
  </conditionalFormatting>
  <conditionalFormatting sqref="B13">
    <cfRule type="cellIs" rank="0" priority="171" equalAverage="0" operator="lessThan" aboveAverage="0" dxfId="0" text="" percent="0" bottom="0">
      <formula>$C$13</formula>
    </cfRule>
  </conditionalFormatting>
  <conditionalFormatting sqref="C12">
    <cfRule type="cellIs" rank="0" priority="172" equalAverage="0" operator="lessThan" aboveAverage="0" dxfId="0" text="" percent="0" bottom="0">
      <formula>$B$12</formula>
    </cfRule>
  </conditionalFormatting>
  <conditionalFormatting sqref="B12">
    <cfRule type="cellIs" rank="0" priority="173" equalAverage="0" operator="lessThan" aboveAverage="0" dxfId="0" text="" percent="0" bottom="0">
      <formula>$C$12</formula>
    </cfRule>
  </conditionalFormatting>
  <conditionalFormatting sqref="C11">
    <cfRule type="cellIs" rank="0" priority="174" equalAverage="0" operator="lessThan" aboveAverage="0" dxfId="0" text="" percent="0" bottom="0">
      <formula>$B$11</formula>
    </cfRule>
  </conditionalFormatting>
  <conditionalFormatting sqref="B11">
    <cfRule type="cellIs" rank="0" priority="175" equalAverage="0" operator="lessThan" aboveAverage="0" dxfId="0" text="" percent="0" bottom="0">
      <formula>$C$11</formula>
    </cfRule>
  </conditionalFormatting>
  <conditionalFormatting sqref="C10">
    <cfRule type="cellIs" rank="0" priority="176" equalAverage="0" operator="lessThan" aboveAverage="0" dxfId="0" text="" percent="0" bottom="0">
      <formula>$B$10</formula>
    </cfRule>
  </conditionalFormatting>
  <conditionalFormatting sqref="B10">
    <cfRule type="cellIs" rank="0" priority="177" equalAverage="0" operator="lessThan" aboveAverage="0" dxfId="0" text="" percent="0" bottom="0">
      <formula>$C$10</formula>
    </cfRule>
  </conditionalFormatting>
  <conditionalFormatting sqref="C9">
    <cfRule type="cellIs" rank="0" priority="178" equalAverage="0" operator="lessThan" aboveAverage="0" dxfId="0" text="" percent="0" bottom="0">
      <formula>$B$9</formula>
    </cfRule>
  </conditionalFormatting>
  <conditionalFormatting sqref="B9">
    <cfRule type="cellIs" rank="0" priority="179" equalAverage="0" operator="lessThan" aboveAverage="0" dxfId="0" text="" percent="0" bottom="0">
      <formula>$C$9</formula>
    </cfRule>
  </conditionalFormatting>
  <conditionalFormatting sqref="C8">
    <cfRule type="cellIs" rank="0" priority="180" equalAverage="0" operator="lessThan" aboveAverage="0" dxfId="0" text="" percent="0" bottom="0">
      <formula>$B$8</formula>
    </cfRule>
  </conditionalFormatting>
  <conditionalFormatting sqref="B8">
    <cfRule type="cellIs" rank="0" priority="181" equalAverage="0" operator="lessThan" aboveAverage="0" dxfId="0" text="" percent="0" bottom="0">
      <formula>$C$8</formula>
    </cfRule>
  </conditionalFormatting>
  <conditionalFormatting sqref="C7">
    <cfRule type="cellIs" rank="0" priority="182" equalAverage="0" operator="lessThan" aboveAverage="0" dxfId="0" text="" percent="0" bottom="0">
      <formula>$B$7</formula>
    </cfRule>
  </conditionalFormatting>
  <conditionalFormatting sqref="B7">
    <cfRule type="cellIs" rank="0" priority="183" equalAverage="0" operator="lessThan" aboveAverage="0" dxfId="0" text="" percent="0" bottom="0">
      <formula>$C$7</formula>
    </cfRule>
  </conditionalFormatting>
  <conditionalFormatting sqref="C6">
    <cfRule type="cellIs" rank="0" priority="184" equalAverage="0" operator="lessThan" aboveAverage="0" dxfId="0" text="" percent="0" bottom="0">
      <formula>$B$6</formula>
    </cfRule>
  </conditionalFormatting>
  <conditionalFormatting sqref="B6">
    <cfRule type="cellIs" rank="0" priority="185" equalAverage="0" operator="lessThan" aboveAverage="0" dxfId="0" text="" percent="0" bottom="0">
      <formula>$C$6</formula>
    </cfRule>
  </conditionalFormatting>
  <conditionalFormatting sqref="C5">
    <cfRule type="cellIs" rank="0" priority="186" equalAverage="0" operator="lessThan" aboveAverage="0" dxfId="0" text="" percent="0" bottom="0">
      <formula>$B$5</formula>
    </cfRule>
  </conditionalFormatting>
  <conditionalFormatting sqref="B5">
    <cfRule type="cellIs" rank="0" priority="187" equalAverage="0" operator="lessThan" aboveAverage="0" dxfId="0" text="" percent="0" bottom="0">
      <formula>$C$5</formula>
    </cfRule>
  </conditionalFormatting>
  <conditionalFormatting sqref="C4">
    <cfRule type="cellIs" rank="0" priority="188" equalAverage="0" operator="lessThan" aboveAverage="0" dxfId="0" text="" percent="0" bottom="0">
      <formula>$B$4</formula>
    </cfRule>
  </conditionalFormatting>
  <conditionalFormatting sqref="B4">
    <cfRule type="cellIs" rank="0" priority="189" equalAverage="0" operator="lessThan" aboveAverage="0" dxfId="0" text="" percent="0" bottom="0">
      <formula>$C$4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51"/>
  <sheetViews>
    <sheetView workbookViewId="0">
      <selection activeCell="A1" sqref="A1"/>
    </sheetView>
  </sheetViews>
  <sheetFormatPr baseColWidth="8" defaultColWidth="10.6796875" defaultRowHeight="15" customHeight="0" zeroHeight="0" outlineLevelRow="0"/>
  <sheetData>
    <row r="1" ht="15" customHeight="1" s="6">
      <c r="A1" s="7" t="n"/>
      <c r="B1" s="8">
        <f>AVERAGE(B4:B38)</f>
        <v/>
      </c>
      <c r="C1" s="8">
        <f>AVERAGE(C4:C30)</f>
        <v/>
      </c>
      <c r="D1" s="8">
        <f>AVERAGE(D4:D60)</f>
        <v/>
      </c>
      <c r="E1" s="8">
        <f>AVERAGE(E4:E60)</f>
        <v/>
      </c>
      <c r="F1" s="7">
        <f>SUM(F4:F50)</f>
        <v/>
      </c>
      <c r="G1" s="7">
        <f>D1-E1</f>
        <v/>
      </c>
    </row>
    <row r="2" ht="15" customHeight="1" s="6">
      <c r="A2" s="9" t="inlineStr">
        <is>
          <t>Produit</t>
        </is>
      </c>
      <c r="B2" s="9" t="inlineStr">
        <is>
          <t>PA base</t>
        </is>
      </c>
      <c r="C2" s="9" t="inlineStr">
        <is>
          <t>PA direct</t>
        </is>
      </c>
      <c r="D2" s="9" t="inlineStr">
        <is>
          <t>PV préco base</t>
        </is>
      </c>
      <c r="E2" s="9" t="inlineStr">
        <is>
          <t>PV magasin</t>
        </is>
      </c>
      <c r="F2" s="9" t="inlineStr">
        <is>
          <t>Quantité</t>
        </is>
      </c>
      <c r="G2" s="10" t="inlineStr">
        <is>
          <t>Marge servi base</t>
        </is>
      </c>
      <c r="H2" s="10" t="inlineStr">
        <is>
          <t>Marge servi direct</t>
        </is>
      </c>
      <c r="I2" s="11" t="inlineStr">
        <is>
          <t>Marge servi Direct</t>
        </is>
      </c>
      <c r="J2" s="11" t="n"/>
      <c r="K2" s="11" t="n"/>
      <c r="L2" s="11" t="n"/>
      <c r="M2" s="11" t="n"/>
      <c r="N2" s="11" t="inlineStr">
        <is>
          <t>Marge servi base</t>
        </is>
      </c>
      <c r="O2" s="11" t="n"/>
      <c r="P2" s="11" t="n"/>
      <c r="Q2" s="11" t="n"/>
      <c r="R2" s="11" t="n"/>
    </row>
    <row r="3" ht="15" customHeight="1" s="6">
      <c r="G3" s="8">
        <f>Q3/R3</f>
        <v/>
      </c>
      <c r="H3" s="8">
        <f>L3/M3</f>
        <v/>
      </c>
      <c r="I3" s="11">
        <f>SUM(I4:I50)</f>
        <v/>
      </c>
      <c r="J3" s="11">
        <f>SUM(J4:J50)</f>
        <v/>
      </c>
      <c r="K3" s="11">
        <f>SUM(K4:K50)</f>
        <v/>
      </c>
      <c r="L3" s="11">
        <f>SUM(L4:L50)</f>
        <v/>
      </c>
      <c r="M3" s="11">
        <f>SUM(M4:M50)</f>
        <v/>
      </c>
      <c r="N3" s="11">
        <f>SUM(N4:N50)</f>
        <v/>
      </c>
      <c r="O3" s="11">
        <f>SUM(O4:O50)</f>
        <v/>
      </c>
      <c r="P3" s="11">
        <f>SUM(P4:P50)</f>
        <v/>
      </c>
      <c r="Q3" s="11">
        <f>SUM(Q4:Q50)</f>
        <v/>
      </c>
      <c r="R3" s="11">
        <f>SUM(R4:R50)</f>
        <v/>
      </c>
    </row>
    <row r="4" ht="15" customHeight="1" s="6">
      <c r="A4" s="9" t="inlineStr">
        <is>
          <t>Poireau nv 20/30 10K c1 FR</t>
        </is>
      </c>
      <c r="C4" s="9" t="n">
        <v>2.1</v>
      </c>
      <c r="E4" s="9" t="n">
        <v>3.29</v>
      </c>
      <c r="F4" s="9" t="n">
        <v>10</v>
      </c>
      <c r="G4" s="7">
        <f>Q4/R4</f>
        <v/>
      </c>
      <c r="H4" s="7">
        <f>L4/M4</f>
        <v/>
      </c>
      <c r="I4" s="9">
        <f>E4/1.055</f>
        <v/>
      </c>
      <c r="J4" s="9">
        <f>I4-C4</f>
        <v/>
      </c>
      <c r="K4" s="9">
        <f>J4*F4</f>
        <v/>
      </c>
      <c r="L4" s="9">
        <f>K4*100</f>
        <v/>
      </c>
      <c r="M4" s="9">
        <f>E4*F4</f>
        <v/>
      </c>
      <c r="N4" s="9">
        <f>D4/1.055</f>
        <v/>
      </c>
      <c r="O4" s="9">
        <f>N4-B4</f>
        <v/>
      </c>
      <c r="P4" s="9">
        <f>O4*F4</f>
        <v/>
      </c>
      <c r="Q4" s="9">
        <f>P4*100</f>
        <v/>
      </c>
      <c r="R4" s="9">
        <f>D4*F4</f>
        <v/>
      </c>
    </row>
    <row r="5" ht="15" customHeight="1" s="6">
      <c r="A5" s="9" t="inlineStr">
        <is>
          <t>Echalote td 1/2 lg 30/50 5K c1 FR</t>
        </is>
      </c>
      <c r="C5" s="9" t="n">
        <v>1.6</v>
      </c>
      <c r="E5" s="9" t="n">
        <v>4.99</v>
      </c>
      <c r="F5" s="9" t="n">
        <v>5</v>
      </c>
      <c r="G5" s="7">
        <f>Q5/R5</f>
        <v/>
      </c>
      <c r="H5" s="7">
        <f>L5/M5</f>
        <v/>
      </c>
      <c r="I5" s="9">
        <f>E5/1.055</f>
        <v/>
      </c>
      <c r="J5" s="9">
        <f>I5-C5</f>
        <v/>
      </c>
      <c r="K5" s="9">
        <f>J5*F5</f>
        <v/>
      </c>
      <c r="L5" s="9">
        <f>K5*100</f>
        <v/>
      </c>
      <c r="M5" s="9">
        <f>E5*F5</f>
        <v/>
      </c>
      <c r="N5" s="9">
        <f>D5/1.055</f>
        <v/>
      </c>
      <c r="O5" s="9">
        <f>N5-B5</f>
        <v/>
      </c>
      <c r="P5" s="9">
        <f>O5*F5</f>
        <v/>
      </c>
      <c r="Q5" s="9">
        <f>P5*100</f>
        <v/>
      </c>
      <c r="R5" s="9">
        <f>D5*F5</f>
        <v/>
      </c>
    </row>
    <row r="6" ht="15" customHeight="1" s="6">
      <c r="A6" s="9" t="inlineStr">
        <is>
          <t>Oignon rge 60/80 5K c1 FR</t>
        </is>
      </c>
      <c r="C6" s="9" t="n">
        <v>1.39</v>
      </c>
      <c r="E6" s="9" t="n">
        <v>4.99</v>
      </c>
      <c r="F6" s="9" t="n">
        <v>5</v>
      </c>
      <c r="G6" s="7">
        <f>Q6/R6</f>
        <v/>
      </c>
      <c r="H6" s="7">
        <f>L6/M6</f>
        <v/>
      </c>
      <c r="I6" s="9">
        <f>E6/1.055</f>
        <v/>
      </c>
      <c r="J6" s="9">
        <f>I6-C6</f>
        <v/>
      </c>
      <c r="K6" s="9">
        <f>J6*F6</f>
        <v/>
      </c>
      <c r="L6" s="9">
        <f>K6*100</f>
        <v/>
      </c>
      <c r="M6" s="9">
        <f>E6*F6</f>
        <v/>
      </c>
      <c r="N6" s="9">
        <f>D6/1.055</f>
        <v/>
      </c>
      <c r="O6" s="9">
        <f>N6-B6</f>
        <v/>
      </c>
      <c r="P6" s="9">
        <f>O6*F6</f>
        <v/>
      </c>
      <c r="Q6" s="9">
        <f>P6*100</f>
        <v/>
      </c>
      <c r="R6" s="9">
        <f>D6*F6</f>
        <v/>
      </c>
    </row>
    <row r="7" ht="15" customHeight="1" s="6">
      <c r="A7" s="9" t="inlineStr">
        <is>
          <t>Concombre 400/500 12P c1 FR</t>
        </is>
      </c>
      <c r="C7" s="9" t="n">
        <v>0.99</v>
      </c>
      <c r="E7" s="9" t="n">
        <v>1.49</v>
      </c>
      <c r="F7" s="9" t="n">
        <v>180</v>
      </c>
      <c r="G7" s="7">
        <f>Q7/R7</f>
        <v/>
      </c>
      <c r="H7" s="7">
        <f>L7/M7</f>
        <v/>
      </c>
      <c r="I7" s="9">
        <f>E7/1.055</f>
        <v/>
      </c>
      <c r="J7" s="9">
        <f>I7-C7</f>
        <v/>
      </c>
      <c r="K7" s="9">
        <f>J7*F7</f>
        <v/>
      </c>
      <c r="L7" s="9">
        <f>K7*100</f>
        <v/>
      </c>
      <c r="M7" s="9">
        <f>E7*F7</f>
        <v/>
      </c>
      <c r="N7" s="9">
        <f>D7/1.055</f>
        <v/>
      </c>
      <c r="O7" s="9">
        <f>N7-B7</f>
        <v/>
      </c>
      <c r="P7" s="9">
        <f>O7*F7</f>
        <v/>
      </c>
      <c r="Q7" s="9">
        <f>P7*100</f>
        <v/>
      </c>
      <c r="R7" s="9">
        <f>D7*F7</f>
        <v/>
      </c>
    </row>
    <row r="8" ht="15" customHeight="1" s="6">
      <c r="A8" s="9" t="inlineStr">
        <is>
          <t>Poivron rouge 80/100 5K c1 MA</t>
        </is>
      </c>
      <c r="C8" s="9" t="n">
        <v>2.4</v>
      </c>
      <c r="E8" s="9" t="n">
        <v>4.99</v>
      </c>
      <c r="F8" s="9" t="n">
        <v>10</v>
      </c>
      <c r="G8" s="7">
        <f>Q8/R8</f>
        <v/>
      </c>
      <c r="H8" s="7">
        <f>L8/M8</f>
        <v/>
      </c>
      <c r="I8" s="9">
        <f>E8/1.055</f>
        <v/>
      </c>
      <c r="J8" s="9">
        <f>I8-C8</f>
        <v/>
      </c>
      <c r="K8" s="9">
        <f>J8*F8</f>
        <v/>
      </c>
      <c r="L8" s="9">
        <f>K8*100</f>
        <v/>
      </c>
      <c r="M8" s="9">
        <f>E8*F8</f>
        <v/>
      </c>
      <c r="N8" s="9">
        <f>D8/1.055</f>
        <v/>
      </c>
      <c r="O8" s="9">
        <f>N8-B8</f>
        <v/>
      </c>
      <c r="P8" s="9">
        <f>O8*F8</f>
        <v/>
      </c>
      <c r="Q8" s="9">
        <f>P8*100</f>
        <v/>
      </c>
      <c r="R8" s="9">
        <f>D8*F8</f>
        <v/>
      </c>
    </row>
    <row r="9" ht="15" customHeight="1" s="6">
      <c r="A9" s="9" t="inlineStr">
        <is>
          <t>Sal feuille chene rg 12P c1 FR</t>
        </is>
      </c>
      <c r="C9" s="9" t="n">
        <v>1.4</v>
      </c>
      <c r="E9" s="9" t="n">
        <v>1.69</v>
      </c>
      <c r="F9" s="9" t="n">
        <v>60</v>
      </c>
      <c r="G9" s="7">
        <f>Q9/R9</f>
        <v/>
      </c>
      <c r="H9" s="7">
        <f>L9/M9</f>
        <v/>
      </c>
      <c r="I9" s="9">
        <f>E9/1.055</f>
        <v/>
      </c>
      <c r="J9" s="9">
        <f>I9-C9</f>
        <v/>
      </c>
      <c r="K9" s="9">
        <f>J9*F9</f>
        <v/>
      </c>
      <c r="L9" s="9">
        <f>K9*100</f>
        <v/>
      </c>
      <c r="M9" s="9">
        <f>E9*F9</f>
        <v/>
      </c>
      <c r="N9" s="9">
        <f>D9/1.055</f>
        <v/>
      </c>
      <c r="O9" s="9">
        <f>N9-B9</f>
        <v/>
      </c>
      <c r="P9" s="9">
        <f>O9*F9</f>
        <v/>
      </c>
      <c r="Q9" s="9">
        <f>P9*100</f>
        <v/>
      </c>
      <c r="R9" s="9">
        <f>D9*F9</f>
        <v/>
      </c>
    </row>
    <row r="10" ht="15" customHeight="1" s="6">
      <c r="A10" s="9" t="inlineStr">
        <is>
          <t>Avocat hass 184/217g 20F c1 ZA</t>
        </is>
      </c>
      <c r="C10" s="9" t="n">
        <v>0.8</v>
      </c>
      <c r="E10" s="9" t="n">
        <v>1.29</v>
      </c>
      <c r="F10" s="9" t="n">
        <v>120</v>
      </c>
      <c r="G10" s="7">
        <f>Q10/R10</f>
        <v/>
      </c>
      <c r="H10" s="7">
        <f>L10/M10</f>
        <v/>
      </c>
      <c r="I10" s="9">
        <f>E10/1.055</f>
        <v/>
      </c>
      <c r="J10" s="9">
        <f>I10-C10</f>
        <v/>
      </c>
      <c r="K10" s="9">
        <f>J10*F10</f>
        <v/>
      </c>
      <c r="L10" s="9">
        <f>K10*100</f>
        <v/>
      </c>
      <c r="M10" s="9">
        <f>E10*F10</f>
        <v/>
      </c>
      <c r="N10" s="9">
        <f>D10/1.055</f>
        <v/>
      </c>
      <c r="O10" s="9">
        <f>N10-B10</f>
        <v/>
      </c>
      <c r="P10" s="9">
        <f>O10*F10</f>
        <v/>
      </c>
      <c r="Q10" s="9">
        <f>P10*100</f>
        <v/>
      </c>
      <c r="R10" s="9">
        <f>D10*F10</f>
        <v/>
      </c>
    </row>
    <row r="11" ht="15" customHeight="1" s="6">
      <c r="A11" s="9" t="inlineStr">
        <is>
          <t>Peche plate bl A 67/73mm ~5K c1 ES</t>
        </is>
      </c>
      <c r="C11" s="9" t="n">
        <v>1.69</v>
      </c>
      <c r="E11" s="9" t="n">
        <v>2.99</v>
      </c>
      <c r="F11" s="9" t="n">
        <v>25</v>
      </c>
      <c r="G11" s="7">
        <f>Q11/R11</f>
        <v/>
      </c>
      <c r="H11" s="7">
        <f>L11/M11</f>
        <v/>
      </c>
      <c r="I11" s="9">
        <f>E11/1.055</f>
        <v/>
      </c>
      <c r="J11" s="9">
        <f>I11-C11</f>
        <v/>
      </c>
      <c r="K11" s="9">
        <f>J11*F11</f>
        <v/>
      </c>
      <c r="L11" s="9">
        <f>K11*100</f>
        <v/>
      </c>
      <c r="M11" s="9">
        <f>E11*F11</f>
        <v/>
      </c>
      <c r="N11" s="9">
        <f>D11/1.055</f>
        <v/>
      </c>
      <c r="O11" s="9">
        <f>N11-B11</f>
        <v/>
      </c>
      <c r="P11" s="9">
        <f>O11*F11</f>
        <v/>
      </c>
      <c r="Q11" s="9">
        <f>P11*100</f>
        <v/>
      </c>
      <c r="R11" s="9">
        <f>D11*F11</f>
        <v/>
      </c>
    </row>
    <row r="12" ht="15" customHeight="1" s="6">
      <c r="A12" s="9" t="inlineStr">
        <is>
          <t>Aubergine 300/500 5K c1 SLC</t>
        </is>
      </c>
      <c r="C12" s="9" t="n">
        <v>2.45</v>
      </c>
      <c r="E12" s="9" t="n">
        <v>3.99</v>
      </c>
      <c r="F12" s="9" t="n">
        <v>15</v>
      </c>
      <c r="G12" s="7">
        <f>Q12/R12</f>
        <v/>
      </c>
      <c r="H12" s="7">
        <f>L12/M12</f>
        <v/>
      </c>
      <c r="I12" s="9">
        <f>E12/1.055</f>
        <v/>
      </c>
      <c r="J12" s="9">
        <f>I12-C12</f>
        <v/>
      </c>
      <c r="K12" s="9">
        <f>J12*F12</f>
        <v/>
      </c>
      <c r="L12" s="9">
        <f>K12*100</f>
        <v/>
      </c>
      <c r="M12" s="9">
        <f>E12*F12</f>
        <v/>
      </c>
      <c r="N12" s="9">
        <f>D12/1.055</f>
        <v/>
      </c>
      <c r="O12" s="9">
        <f>N12-B12</f>
        <v/>
      </c>
      <c r="P12" s="9">
        <f>O12*F12</f>
        <v/>
      </c>
      <c r="Q12" s="9">
        <f>P12*100</f>
        <v/>
      </c>
      <c r="R12" s="9">
        <f>D12*F12</f>
        <v/>
      </c>
    </row>
    <row r="13" ht="15" customHeight="1" s="6">
      <c r="A13" s="9" t="inlineStr">
        <is>
          <t>Sal feuille chene bld 12P c1 SLC1</t>
        </is>
      </c>
      <c r="C13" s="9" t="n">
        <v>1.4</v>
      </c>
      <c r="E13" s="9" t="n">
        <v>1.99</v>
      </c>
      <c r="F13" s="9" t="n">
        <v>48</v>
      </c>
      <c r="G13" s="7">
        <f>Q13/R13</f>
        <v/>
      </c>
      <c r="H13" s="7">
        <f>L13/M13</f>
        <v/>
      </c>
      <c r="I13" s="9">
        <f>E13/1.055</f>
        <v/>
      </c>
      <c r="J13" s="9">
        <f>I13-C13</f>
        <v/>
      </c>
      <c r="K13" s="9">
        <f>J13*F13</f>
        <v/>
      </c>
      <c r="L13" s="9">
        <f>K13*100</f>
        <v/>
      </c>
      <c r="M13" s="9">
        <f>E13*F13</f>
        <v/>
      </c>
      <c r="N13" s="9">
        <f>D13/1.055</f>
        <v/>
      </c>
      <c r="O13" s="9">
        <f>N13-B13</f>
        <v/>
      </c>
      <c r="P13" s="9">
        <f>O13*F13</f>
        <v/>
      </c>
      <c r="Q13" s="9">
        <f>P13*100</f>
        <v/>
      </c>
      <c r="R13" s="9">
        <f>D13*F13</f>
        <v/>
      </c>
    </row>
    <row r="14" ht="15" customHeight="1" s="6">
      <c r="A14" s="9" t="inlineStr">
        <is>
          <t>Poivron vert 80/100 plt 5K c1 SLC</t>
        </is>
      </c>
      <c r="C14" s="9" t="n">
        <v>2.6</v>
      </c>
      <c r="E14" s="9" t="n">
        <v>4.99</v>
      </c>
      <c r="F14" s="9" t="n">
        <v>5</v>
      </c>
      <c r="G14" s="7">
        <f>Q14/R14</f>
        <v/>
      </c>
      <c r="H14" s="7">
        <f>L14/M14</f>
        <v/>
      </c>
      <c r="I14" s="9">
        <f>E14/1.055</f>
        <v/>
      </c>
      <c r="J14" s="9">
        <f>I14-C14</f>
        <v/>
      </c>
      <c r="K14" s="9">
        <f>J14*F14</f>
        <v/>
      </c>
      <c r="L14" s="9">
        <f>K14*100</f>
        <v/>
      </c>
      <c r="M14" s="9">
        <f>E14*F14</f>
        <v/>
      </c>
      <c r="N14" s="9">
        <f>D14/1.055</f>
        <v/>
      </c>
      <c r="O14" s="9">
        <f>N14-B14</f>
        <v/>
      </c>
      <c r="P14" s="9">
        <f>O14*F14</f>
        <v/>
      </c>
      <c r="Q14" s="9">
        <f>P14*100</f>
        <v/>
      </c>
      <c r="R14" s="9">
        <f>D14*F14</f>
        <v/>
      </c>
    </row>
    <row r="15" ht="15" customHeight="1" s="6">
      <c r="A15" s="9" t="inlineStr">
        <is>
          <t>Sal batavia blonde 12P c1 SLC1</t>
        </is>
      </c>
      <c r="C15" s="9" t="n">
        <v>1.4</v>
      </c>
      <c r="E15" s="9" t="n">
        <v>1.99</v>
      </c>
      <c r="F15" s="9" t="n">
        <v>36</v>
      </c>
      <c r="G15" s="7">
        <f>Q15/R15</f>
        <v/>
      </c>
      <c r="H15" s="7">
        <f>L15/M15</f>
        <v/>
      </c>
      <c r="I15" s="9">
        <f>E15/1.055</f>
        <v/>
      </c>
      <c r="J15" s="9">
        <f>I15-C15</f>
        <v/>
      </c>
      <c r="K15" s="9">
        <f>J15*F15</f>
        <v/>
      </c>
      <c r="L15" s="9">
        <f>K15*100</f>
        <v/>
      </c>
      <c r="M15" s="9">
        <f>E15*F15</f>
        <v/>
      </c>
      <c r="N15" s="9">
        <f>D15/1.055</f>
        <v/>
      </c>
      <c r="O15" s="9">
        <f>N15-B15</f>
        <v/>
      </c>
      <c r="P15" s="9">
        <f>O15*F15</f>
        <v/>
      </c>
      <c r="Q15" s="9">
        <f>P15*100</f>
        <v/>
      </c>
      <c r="R15" s="9">
        <f>D15*F15</f>
        <v/>
      </c>
    </row>
    <row r="16" ht="15" customHeight="1" s="6">
      <c r="A16" s="9" t="inlineStr">
        <is>
          <t>Kiwi 89/103g 104F Zespri c1 NZ</t>
        </is>
      </c>
      <c r="C16" s="9" t="n">
        <v>0.38</v>
      </c>
      <c r="E16" s="9" t="n">
        <v>0.6899999999999999</v>
      </c>
      <c r="F16" s="9" t="n">
        <v>312</v>
      </c>
      <c r="G16" s="7">
        <f>Q16/R16</f>
        <v/>
      </c>
      <c r="H16" s="7">
        <f>L16/M16</f>
        <v/>
      </c>
      <c r="I16" s="9">
        <f>E16/1.055</f>
        <v/>
      </c>
      <c r="J16" s="9">
        <f>I16-C16</f>
        <v/>
      </c>
      <c r="K16" s="9">
        <f>J16*F16</f>
        <v/>
      </c>
      <c r="L16" s="9">
        <f>K16*100</f>
        <v/>
      </c>
      <c r="M16" s="9">
        <f>E16*F16</f>
        <v/>
      </c>
      <c r="N16" s="9">
        <f>D16/1.055</f>
        <v/>
      </c>
      <c r="O16" s="9">
        <f>N16-B16</f>
        <v/>
      </c>
      <c r="P16" s="9">
        <f>O16*F16</f>
        <v/>
      </c>
      <c r="Q16" s="9">
        <f>P16*100</f>
        <v/>
      </c>
      <c r="R16" s="9">
        <f>D16*F16</f>
        <v/>
      </c>
    </row>
    <row r="17" ht="15" customHeight="1" s="6">
      <c r="A17" s="9" t="inlineStr">
        <is>
          <t>Courgette 21/30 HVE 5K c1 FR</t>
        </is>
      </c>
      <c r="C17" s="9" t="n">
        <v>2.4</v>
      </c>
      <c r="E17" s="9" t="n">
        <v>2.69</v>
      </c>
      <c r="F17" s="9" t="n">
        <v>20</v>
      </c>
      <c r="G17" s="7">
        <f>Q17/R17</f>
        <v/>
      </c>
      <c r="H17" s="7">
        <f>L17/M17</f>
        <v/>
      </c>
      <c r="I17" s="9">
        <f>E17/1.055</f>
        <v/>
      </c>
      <c r="J17" s="9">
        <f>I17-C17</f>
        <v/>
      </c>
      <c r="K17" s="9">
        <f>J17*F17</f>
        <v/>
      </c>
      <c r="L17" s="9">
        <f>K17*100</f>
        <v/>
      </c>
      <c r="M17" s="9">
        <f>E17*F17</f>
        <v/>
      </c>
      <c r="N17" s="9">
        <f>D17/1.055</f>
        <v/>
      </c>
      <c r="O17" s="9">
        <f>N17-B17</f>
        <v/>
      </c>
      <c r="P17" s="9">
        <f>O17*F17</f>
        <v/>
      </c>
      <c r="Q17" s="9">
        <f>P17*100</f>
        <v/>
      </c>
      <c r="R17" s="9">
        <f>D17*F17</f>
        <v/>
      </c>
    </row>
    <row r="18" ht="15" customHeight="1" s="6">
      <c r="G18" s="7">
        <f>Q18/R18</f>
        <v/>
      </c>
      <c r="H18" s="7">
        <f>L18/M18</f>
        <v/>
      </c>
      <c r="I18" s="9">
        <f>E18/1.055</f>
        <v/>
      </c>
      <c r="J18" s="9">
        <f>I18-C18</f>
        <v/>
      </c>
      <c r="K18" s="9">
        <f>J18*F18</f>
        <v/>
      </c>
      <c r="L18" s="9">
        <f>K18*100</f>
        <v/>
      </c>
      <c r="M18" s="9">
        <f>E18*F18</f>
        <v/>
      </c>
      <c r="N18" s="9">
        <f>D18/1.055</f>
        <v/>
      </c>
      <c r="O18" s="9">
        <f>N18-B18</f>
        <v/>
      </c>
      <c r="P18" s="9">
        <f>O18*F18</f>
        <v/>
      </c>
      <c r="Q18" s="9">
        <f>P18*100</f>
        <v/>
      </c>
      <c r="R18" s="9">
        <f>D18*F18</f>
        <v/>
      </c>
    </row>
    <row r="19" ht="15" customHeight="1" s="6">
      <c r="G19" s="7">
        <f>Q19/R19</f>
        <v/>
      </c>
      <c r="H19" s="7">
        <f>L19/M19</f>
        <v/>
      </c>
      <c r="I19" s="9">
        <f>E19/1.055</f>
        <v/>
      </c>
      <c r="J19" s="9">
        <f>I19-C19</f>
        <v/>
      </c>
      <c r="K19" s="9">
        <f>J19*F19</f>
        <v/>
      </c>
      <c r="L19" s="9">
        <f>K19*100</f>
        <v/>
      </c>
      <c r="M19" s="9">
        <f>E19*F19</f>
        <v/>
      </c>
      <c r="N19" s="9">
        <f>D19/1.055</f>
        <v/>
      </c>
      <c r="O19" s="9">
        <f>N19-B19</f>
        <v/>
      </c>
      <c r="P19" s="9">
        <f>O19*F19</f>
        <v/>
      </c>
      <c r="Q19" s="9">
        <f>P19*100</f>
        <v/>
      </c>
      <c r="R19" s="9">
        <f>D19*F19</f>
        <v/>
      </c>
    </row>
    <row r="20" ht="15" customHeight="1" s="6">
      <c r="G20" s="7">
        <f>Q20/R20</f>
        <v/>
      </c>
      <c r="H20" s="7">
        <f>L20/M20</f>
        <v/>
      </c>
      <c r="I20" s="9">
        <f>E20/1.055</f>
        <v/>
      </c>
      <c r="J20" s="9">
        <f>I20-C20</f>
        <v/>
      </c>
      <c r="K20" s="9">
        <f>J20*F20</f>
        <v/>
      </c>
      <c r="L20" s="9">
        <f>K20*100</f>
        <v/>
      </c>
      <c r="M20" s="9">
        <f>E20*F20</f>
        <v/>
      </c>
      <c r="N20" s="9">
        <f>D20/1.055</f>
        <v/>
      </c>
      <c r="O20" s="9">
        <f>N20-B20</f>
        <v/>
      </c>
      <c r="P20" s="9">
        <f>O20*F20</f>
        <v/>
      </c>
      <c r="Q20" s="9">
        <f>P20*100</f>
        <v/>
      </c>
      <c r="R20" s="9">
        <f>D20*F20</f>
        <v/>
      </c>
    </row>
    <row r="21" ht="15" customHeight="1" s="6">
      <c r="G21" s="7">
        <f>Q21/R21</f>
        <v/>
      </c>
      <c r="H21" s="7">
        <f>L21/M21</f>
        <v/>
      </c>
      <c r="I21" s="9">
        <f>E21/1.055</f>
        <v/>
      </c>
      <c r="J21" s="9">
        <f>I21-C21</f>
        <v/>
      </c>
      <c r="K21" s="9">
        <f>J21*F21</f>
        <v/>
      </c>
      <c r="L21" s="9">
        <f>K21*100</f>
        <v/>
      </c>
      <c r="M21" s="9">
        <f>E21*F21</f>
        <v/>
      </c>
      <c r="N21" s="9">
        <f>D21/1.055</f>
        <v/>
      </c>
      <c r="O21" s="9">
        <f>N21-B21</f>
        <v/>
      </c>
      <c r="P21" s="9">
        <f>O21*F21</f>
        <v/>
      </c>
      <c r="Q21" s="9">
        <f>P21*100</f>
        <v/>
      </c>
      <c r="R21" s="9">
        <f>D21*F21</f>
        <v/>
      </c>
    </row>
    <row r="22" ht="15" customHeight="1" s="6">
      <c r="G22" s="7">
        <f>Q22/R22</f>
        <v/>
      </c>
      <c r="H22" s="7">
        <f>L22/M22</f>
        <v/>
      </c>
      <c r="I22" s="9">
        <f>E22/1.055</f>
        <v/>
      </c>
      <c r="J22" s="9">
        <f>I22-C22</f>
        <v/>
      </c>
      <c r="K22" s="9">
        <f>J22*F22</f>
        <v/>
      </c>
      <c r="L22" s="9">
        <f>K22*100</f>
        <v/>
      </c>
      <c r="M22" s="9">
        <f>E22*F22</f>
        <v/>
      </c>
      <c r="N22" s="9">
        <f>D22/1.055</f>
        <v/>
      </c>
      <c r="O22" s="9">
        <f>N22-B22</f>
        <v/>
      </c>
      <c r="P22" s="9">
        <f>O22*F22</f>
        <v/>
      </c>
      <c r="Q22" s="9">
        <f>P22*100</f>
        <v/>
      </c>
      <c r="R22" s="9">
        <f>D22*F22</f>
        <v/>
      </c>
    </row>
    <row r="23" ht="15" customHeight="1" s="6">
      <c r="G23" s="7">
        <f>Q23/R23</f>
        <v/>
      </c>
      <c r="H23" s="7">
        <f>L23/M23</f>
        <v/>
      </c>
      <c r="I23" s="9">
        <f>E23/1.055</f>
        <v/>
      </c>
      <c r="J23" s="9">
        <f>I23-C23</f>
        <v/>
      </c>
      <c r="K23" s="9">
        <f>J23*F23</f>
        <v/>
      </c>
      <c r="L23" s="9">
        <f>K23*100</f>
        <v/>
      </c>
      <c r="M23" s="9">
        <f>E23*F23</f>
        <v/>
      </c>
      <c r="N23" s="9">
        <f>D23/1.055</f>
        <v/>
      </c>
      <c r="O23" s="9">
        <f>N23-B23</f>
        <v/>
      </c>
      <c r="P23" s="9">
        <f>O23*F23</f>
        <v/>
      </c>
      <c r="Q23" s="9">
        <f>P23*100</f>
        <v/>
      </c>
      <c r="R23" s="9">
        <f>D23*F23</f>
        <v/>
      </c>
    </row>
    <row r="24" ht="15" customHeight="1" s="6">
      <c r="G24" s="7">
        <f>Q24/R24</f>
        <v/>
      </c>
      <c r="H24" s="7">
        <f>L24/M24</f>
        <v/>
      </c>
      <c r="I24" s="9">
        <f>E24/1.055</f>
        <v/>
      </c>
      <c r="J24" s="9">
        <f>I24-C24</f>
        <v/>
      </c>
      <c r="K24" s="9">
        <f>J24*F24</f>
        <v/>
      </c>
      <c r="L24" s="9">
        <f>K24*100</f>
        <v/>
      </c>
      <c r="M24" s="9">
        <f>E24*F24</f>
        <v/>
      </c>
      <c r="N24" s="9">
        <f>D24/1.055</f>
        <v/>
      </c>
      <c r="O24" s="9">
        <f>N24-B24</f>
        <v/>
      </c>
      <c r="P24" s="9">
        <f>O24*F24</f>
        <v/>
      </c>
      <c r="Q24" s="9">
        <f>P24*100</f>
        <v/>
      </c>
      <c r="R24" s="9">
        <f>D24*F24</f>
        <v/>
      </c>
    </row>
    <row r="25" ht="15" customHeight="1" s="6">
      <c r="G25" s="7">
        <f>Q25/R25</f>
        <v/>
      </c>
      <c r="H25" s="7">
        <f>L25/M25</f>
        <v/>
      </c>
      <c r="I25" s="9">
        <f>E25/1.055</f>
        <v/>
      </c>
      <c r="J25" s="9">
        <f>I25-C25</f>
        <v/>
      </c>
      <c r="K25" s="9">
        <f>J25*F25</f>
        <v/>
      </c>
      <c r="L25" s="9">
        <f>K25*100</f>
        <v/>
      </c>
      <c r="M25" s="9">
        <f>E25*F25</f>
        <v/>
      </c>
      <c r="N25" s="9">
        <f>D25/1.055</f>
        <v/>
      </c>
      <c r="O25" s="9">
        <f>N25-B25</f>
        <v/>
      </c>
      <c r="P25" s="9">
        <f>O25*F25</f>
        <v/>
      </c>
      <c r="Q25" s="9">
        <f>P25*100</f>
        <v/>
      </c>
      <c r="R25" s="9">
        <f>D25*F25</f>
        <v/>
      </c>
    </row>
    <row r="26" ht="15" customHeight="1" s="6">
      <c r="G26" s="7">
        <f>Q26/R26</f>
        <v/>
      </c>
      <c r="H26" s="7">
        <f>L26/M26</f>
        <v/>
      </c>
      <c r="I26" s="9">
        <f>E26/1.055</f>
        <v/>
      </c>
      <c r="J26" s="9">
        <f>I26-C26</f>
        <v/>
      </c>
      <c r="K26" s="9">
        <f>J26*F26</f>
        <v/>
      </c>
      <c r="L26" s="9">
        <f>K26*100</f>
        <v/>
      </c>
      <c r="M26" s="9">
        <f>E26*F26</f>
        <v/>
      </c>
      <c r="N26" s="9">
        <f>D26/1.055</f>
        <v/>
      </c>
      <c r="O26" s="9">
        <f>N26-B26</f>
        <v/>
      </c>
      <c r="P26" s="9">
        <f>O26*F26</f>
        <v/>
      </c>
      <c r="Q26" s="9">
        <f>P26*100</f>
        <v/>
      </c>
      <c r="R26" s="9">
        <f>D26*F26</f>
        <v/>
      </c>
    </row>
    <row r="27" ht="15" customHeight="1" s="6">
      <c r="G27" s="7">
        <f>Q27/R27</f>
        <v/>
      </c>
      <c r="H27" s="7">
        <f>L27/M27</f>
        <v/>
      </c>
      <c r="I27" s="9">
        <f>E27/1.055</f>
        <v/>
      </c>
      <c r="J27" s="9">
        <f>I27-C27</f>
        <v/>
      </c>
      <c r="K27" s="9">
        <f>J27*F27</f>
        <v/>
      </c>
      <c r="L27" s="9">
        <f>K27*100</f>
        <v/>
      </c>
      <c r="M27" s="9">
        <f>E27*F27</f>
        <v/>
      </c>
      <c r="N27" s="9">
        <f>D27/1.055</f>
        <v/>
      </c>
      <c r="O27" s="9">
        <f>N27-B27</f>
        <v/>
      </c>
      <c r="P27" s="9">
        <f>O27*F27</f>
        <v/>
      </c>
      <c r="Q27" s="9">
        <f>P27*100</f>
        <v/>
      </c>
      <c r="R27" s="9">
        <f>D27*F27</f>
        <v/>
      </c>
    </row>
    <row r="28" ht="15" customHeight="1" s="6">
      <c r="G28" s="7">
        <f>Q28/R28</f>
        <v/>
      </c>
      <c r="H28" s="7">
        <f>L28/M28</f>
        <v/>
      </c>
      <c r="I28" s="9">
        <f>E28/1.055</f>
        <v/>
      </c>
      <c r="J28" s="9">
        <f>I28-C28</f>
        <v/>
      </c>
      <c r="K28" s="9">
        <f>J28*F28</f>
        <v/>
      </c>
      <c r="L28" s="9">
        <f>K28*100</f>
        <v/>
      </c>
      <c r="M28" s="9">
        <f>E28*F28</f>
        <v/>
      </c>
      <c r="N28" s="9">
        <f>D28/1.055</f>
        <v/>
      </c>
      <c r="O28" s="9">
        <f>N28-B28</f>
        <v/>
      </c>
      <c r="P28" s="9">
        <f>O28*F28</f>
        <v/>
      </c>
      <c r="Q28" s="9">
        <f>P28*100</f>
        <v/>
      </c>
      <c r="R28" s="9">
        <f>D28*F28</f>
        <v/>
      </c>
    </row>
    <row r="29" ht="15" customHeight="1" s="6">
      <c r="G29" s="7">
        <f>Q29/R29</f>
        <v/>
      </c>
      <c r="H29" s="7">
        <f>L29/M29</f>
        <v/>
      </c>
      <c r="I29" s="9">
        <f>E29/1.055</f>
        <v/>
      </c>
      <c r="J29" s="9">
        <f>I29-C29</f>
        <v/>
      </c>
      <c r="K29" s="9">
        <f>J29*F29</f>
        <v/>
      </c>
      <c r="L29" s="9">
        <f>K29*100</f>
        <v/>
      </c>
      <c r="M29" s="9">
        <f>E29*F29</f>
        <v/>
      </c>
      <c r="N29" s="9">
        <f>D29/1.055</f>
        <v/>
      </c>
      <c r="O29" s="9">
        <f>N29-B29</f>
        <v/>
      </c>
      <c r="P29" s="9">
        <f>O29*F29</f>
        <v/>
      </c>
      <c r="Q29" s="9">
        <f>P29*100</f>
        <v/>
      </c>
      <c r="R29" s="9">
        <f>D29*F29</f>
        <v/>
      </c>
    </row>
    <row r="30" ht="15" customHeight="1" s="6">
      <c r="G30" s="7">
        <f>Q30/R30</f>
        <v/>
      </c>
      <c r="H30" s="7">
        <f>L30/M30</f>
        <v/>
      </c>
      <c r="I30" s="9">
        <f>E30/1.055</f>
        <v/>
      </c>
      <c r="J30" s="9">
        <f>I30-C30</f>
        <v/>
      </c>
      <c r="K30" s="9">
        <f>J30*F30</f>
        <v/>
      </c>
      <c r="L30" s="9">
        <f>K30*100</f>
        <v/>
      </c>
      <c r="M30" s="9">
        <f>E30*F30</f>
        <v/>
      </c>
      <c r="N30" s="9">
        <f>D30/1.055</f>
        <v/>
      </c>
      <c r="O30" s="9">
        <f>N30-B30</f>
        <v/>
      </c>
      <c r="P30" s="9">
        <f>O30*F30</f>
        <v/>
      </c>
      <c r="Q30" s="9">
        <f>P30*100</f>
        <v/>
      </c>
      <c r="R30" s="9">
        <f>D30*F30</f>
        <v/>
      </c>
    </row>
    <row r="31" ht="15" customHeight="1" s="6">
      <c r="G31" s="7">
        <f>Q31/R31</f>
        <v/>
      </c>
      <c r="H31" s="7">
        <f>L31/M31</f>
        <v/>
      </c>
      <c r="I31" s="9">
        <f>E31/1.055</f>
        <v/>
      </c>
      <c r="J31" s="9">
        <f>I31-C31</f>
        <v/>
      </c>
      <c r="K31" s="9">
        <f>J31*F31</f>
        <v/>
      </c>
      <c r="L31" s="9">
        <f>K31*100</f>
        <v/>
      </c>
      <c r="M31" s="9">
        <f>E31*F31</f>
        <v/>
      </c>
      <c r="N31" s="9">
        <f>D31/1.055</f>
        <v/>
      </c>
      <c r="O31" s="9">
        <f>N31-B31</f>
        <v/>
      </c>
      <c r="P31" s="9">
        <f>O31*F31</f>
        <v/>
      </c>
      <c r="Q31" s="9">
        <f>P31*100</f>
        <v/>
      </c>
      <c r="R31" s="9">
        <f>D31*F31</f>
        <v/>
      </c>
    </row>
    <row r="32" ht="15" customHeight="1" s="6">
      <c r="G32" s="7">
        <f>Q32/R32</f>
        <v/>
      </c>
      <c r="H32" s="7">
        <f>L32/M32</f>
        <v/>
      </c>
      <c r="I32" s="9">
        <f>E32/1.055</f>
        <v/>
      </c>
      <c r="J32" s="9">
        <f>I32-C32</f>
        <v/>
      </c>
      <c r="K32" s="9">
        <f>J32*F32</f>
        <v/>
      </c>
      <c r="L32" s="9">
        <f>K32*100</f>
        <v/>
      </c>
      <c r="M32" s="9">
        <f>E32*F32</f>
        <v/>
      </c>
      <c r="N32" s="9">
        <f>D32/1.055</f>
        <v/>
      </c>
      <c r="O32" s="9">
        <f>N32-B32</f>
        <v/>
      </c>
      <c r="P32" s="9">
        <f>O32*F32</f>
        <v/>
      </c>
      <c r="Q32" s="9">
        <f>P32*100</f>
        <v/>
      </c>
      <c r="R32" s="9">
        <f>D32*F32</f>
        <v/>
      </c>
    </row>
    <row r="33" ht="15" customHeight="1" s="6">
      <c r="G33" s="7">
        <f>Q33/R33</f>
        <v/>
      </c>
      <c r="H33" s="7">
        <f>L33/M33</f>
        <v/>
      </c>
      <c r="I33" s="9">
        <f>E33/1.055</f>
        <v/>
      </c>
      <c r="J33" s="9">
        <f>I33-C33</f>
        <v/>
      </c>
      <c r="K33" s="9">
        <f>J33*F33</f>
        <v/>
      </c>
      <c r="L33" s="9">
        <f>K33*100</f>
        <v/>
      </c>
      <c r="M33" s="9">
        <f>E33*F33</f>
        <v/>
      </c>
      <c r="N33" s="9">
        <f>D33/1.055</f>
        <v/>
      </c>
      <c r="O33" s="9">
        <f>N33-B33</f>
        <v/>
      </c>
      <c r="P33" s="9">
        <f>O33*F33</f>
        <v/>
      </c>
      <c r="Q33" s="9">
        <f>P33*100</f>
        <v/>
      </c>
      <c r="R33" s="9">
        <f>D33*F33</f>
        <v/>
      </c>
    </row>
    <row r="34" ht="15" customHeight="1" s="6">
      <c r="G34" s="7">
        <f>Q34/R34</f>
        <v/>
      </c>
      <c r="H34" s="7">
        <f>L34/M34</f>
        <v/>
      </c>
      <c r="I34" s="9">
        <f>E34/1.055</f>
        <v/>
      </c>
      <c r="J34" s="9">
        <f>I34-C34</f>
        <v/>
      </c>
      <c r="K34" s="9">
        <f>J34*F34</f>
        <v/>
      </c>
      <c r="L34" s="9">
        <f>K34*100</f>
        <v/>
      </c>
      <c r="M34" s="9">
        <f>E34*F34</f>
        <v/>
      </c>
      <c r="N34" s="9">
        <f>D34/1.055</f>
        <v/>
      </c>
      <c r="O34" s="9">
        <f>N34-B34</f>
        <v/>
      </c>
      <c r="P34" s="9">
        <f>O34*F34</f>
        <v/>
      </c>
      <c r="Q34" s="9">
        <f>P34*100</f>
        <v/>
      </c>
      <c r="R34" s="9">
        <f>D34*F34</f>
        <v/>
      </c>
    </row>
    <row r="35" ht="15" customHeight="1" s="6">
      <c r="G35" s="7">
        <f>Q35/R35</f>
        <v/>
      </c>
      <c r="H35" s="7">
        <f>L35/M35</f>
        <v/>
      </c>
      <c r="I35" s="9">
        <f>E35/1.055</f>
        <v/>
      </c>
      <c r="J35" s="9">
        <f>I35-C35</f>
        <v/>
      </c>
      <c r="K35" s="9">
        <f>J35*F35</f>
        <v/>
      </c>
      <c r="L35" s="9">
        <f>K35*100</f>
        <v/>
      </c>
      <c r="M35" s="9">
        <f>E35*F35</f>
        <v/>
      </c>
      <c r="N35" s="9">
        <f>D35/1.055</f>
        <v/>
      </c>
      <c r="O35" s="9">
        <f>N35-B35</f>
        <v/>
      </c>
      <c r="P35" s="9">
        <f>O35*F35</f>
        <v/>
      </c>
      <c r="Q35" s="9">
        <f>P35*100</f>
        <v/>
      </c>
      <c r="R35" s="9">
        <f>D35*F35</f>
        <v/>
      </c>
    </row>
    <row r="36" ht="15" customHeight="1" s="6">
      <c r="G36" s="7">
        <f>Q36/R36</f>
        <v/>
      </c>
      <c r="H36" s="7">
        <f>L36/M36</f>
        <v/>
      </c>
      <c r="I36" s="9">
        <f>E36/1.055</f>
        <v/>
      </c>
      <c r="J36" s="9">
        <f>I36-C36</f>
        <v/>
      </c>
      <c r="K36" s="9">
        <f>J36*F36</f>
        <v/>
      </c>
      <c r="L36" s="9">
        <f>K36*100</f>
        <v/>
      </c>
      <c r="M36" s="9">
        <f>E36*F36</f>
        <v/>
      </c>
      <c r="N36" s="9">
        <f>D36/1.055</f>
        <v/>
      </c>
      <c r="O36" s="9">
        <f>N36-B36</f>
        <v/>
      </c>
      <c r="P36" s="9">
        <f>O36*F36</f>
        <v/>
      </c>
      <c r="Q36" s="9">
        <f>P36*100</f>
        <v/>
      </c>
      <c r="R36" s="9">
        <f>D36*F36</f>
        <v/>
      </c>
    </row>
    <row r="37" ht="15" customHeight="1" s="6">
      <c r="G37" s="7">
        <f>Q37/R37</f>
        <v/>
      </c>
      <c r="H37" s="7">
        <f>L37/M37</f>
        <v/>
      </c>
      <c r="I37" s="9">
        <f>E37/1.055</f>
        <v/>
      </c>
      <c r="J37" s="9">
        <f>I37-C37</f>
        <v/>
      </c>
      <c r="K37" s="9">
        <f>J37*F37</f>
        <v/>
      </c>
      <c r="L37" s="9">
        <f>K37*100</f>
        <v/>
      </c>
      <c r="M37" s="9">
        <f>E37*F37</f>
        <v/>
      </c>
      <c r="N37" s="9">
        <f>D37/1.055</f>
        <v/>
      </c>
      <c r="O37" s="9">
        <f>N37-B37</f>
        <v/>
      </c>
      <c r="P37" s="9">
        <f>O37*F37</f>
        <v/>
      </c>
      <c r="Q37" s="9">
        <f>P37*100</f>
        <v/>
      </c>
      <c r="R37" s="9">
        <f>D37*F37</f>
        <v/>
      </c>
    </row>
    <row r="38" ht="15" customHeight="1" s="6">
      <c r="G38" s="7">
        <f>Q38/R38</f>
        <v/>
      </c>
      <c r="H38" s="7">
        <f>L38/M38</f>
        <v/>
      </c>
      <c r="I38" s="9">
        <f>E38/1.055</f>
        <v/>
      </c>
      <c r="J38" s="9">
        <f>I38-C38</f>
        <v/>
      </c>
      <c r="K38" s="9">
        <f>J38*F38</f>
        <v/>
      </c>
      <c r="L38" s="9">
        <f>K38*100</f>
        <v/>
      </c>
      <c r="M38" s="9">
        <f>E38*F38</f>
        <v/>
      </c>
      <c r="N38" s="9">
        <f>D38/1.055</f>
        <v/>
      </c>
      <c r="O38" s="9">
        <f>N38-B38</f>
        <v/>
      </c>
      <c r="P38" s="9">
        <f>O38*F38</f>
        <v/>
      </c>
      <c r="Q38" s="9">
        <f>P38*100</f>
        <v/>
      </c>
      <c r="R38" s="9">
        <f>D38*F38</f>
        <v/>
      </c>
    </row>
    <row r="39" ht="15" customHeight="1" s="6">
      <c r="G39" s="7">
        <f>Q39/R39</f>
        <v/>
      </c>
      <c r="H39" s="7">
        <f>L39/M39</f>
        <v/>
      </c>
      <c r="I39" s="9">
        <f>E39/1.055</f>
        <v/>
      </c>
      <c r="J39" s="9">
        <f>I39-C39</f>
        <v/>
      </c>
      <c r="K39" s="9">
        <f>J39*F39</f>
        <v/>
      </c>
      <c r="L39" s="9">
        <f>K39*100</f>
        <v/>
      </c>
      <c r="M39" s="9">
        <f>E39*F39</f>
        <v/>
      </c>
      <c r="N39" s="9">
        <f>D39/1.055</f>
        <v/>
      </c>
      <c r="O39" s="9">
        <f>N39-B39</f>
        <v/>
      </c>
      <c r="P39" s="9">
        <f>O39*F39</f>
        <v/>
      </c>
      <c r="Q39" s="9">
        <f>P39*100</f>
        <v/>
      </c>
      <c r="R39" s="9">
        <f>D39*F39</f>
        <v/>
      </c>
    </row>
    <row r="40" ht="15" customHeight="1" s="6">
      <c r="G40" s="7">
        <f>Q40/R40</f>
        <v/>
      </c>
      <c r="H40" s="7">
        <f>L40/M40</f>
        <v/>
      </c>
      <c r="I40" s="9">
        <f>E40/1.055</f>
        <v/>
      </c>
      <c r="J40" s="9">
        <f>I40-C40</f>
        <v/>
      </c>
      <c r="K40" s="9">
        <f>J40*F40</f>
        <v/>
      </c>
      <c r="L40" s="9">
        <f>K40*100</f>
        <v/>
      </c>
      <c r="M40" s="9">
        <f>E40*F40</f>
        <v/>
      </c>
      <c r="N40" s="9">
        <f>D40/1.055</f>
        <v/>
      </c>
      <c r="O40" s="9">
        <f>N40-B40</f>
        <v/>
      </c>
      <c r="P40" s="9">
        <f>O40*F40</f>
        <v/>
      </c>
      <c r="Q40" s="9">
        <f>P40*100</f>
        <v/>
      </c>
      <c r="R40" s="9">
        <f>D40*F40</f>
        <v/>
      </c>
    </row>
    <row r="41" ht="15" customHeight="1" s="6">
      <c r="G41" s="7">
        <f>Q41/R41</f>
        <v/>
      </c>
      <c r="H41" s="7">
        <f>L41/M41</f>
        <v/>
      </c>
      <c r="I41" s="9">
        <f>E41/1.055</f>
        <v/>
      </c>
      <c r="J41" s="9">
        <f>I41-C41</f>
        <v/>
      </c>
      <c r="K41" s="9">
        <f>J41*F41</f>
        <v/>
      </c>
      <c r="L41" s="9">
        <f>K41*100</f>
        <v/>
      </c>
      <c r="M41" s="9">
        <f>E41*F41</f>
        <v/>
      </c>
      <c r="N41" s="9">
        <f>D41/1.055</f>
        <v/>
      </c>
      <c r="O41" s="9">
        <f>N41-B41</f>
        <v/>
      </c>
      <c r="P41" s="9">
        <f>O41*F41</f>
        <v/>
      </c>
      <c r="Q41" s="9">
        <f>P41*100</f>
        <v/>
      </c>
      <c r="R41" s="9">
        <f>D41*F41</f>
        <v/>
      </c>
    </row>
    <row r="42" ht="15" customHeight="1" s="6">
      <c r="G42" s="7">
        <f>Q42/R42</f>
        <v/>
      </c>
      <c r="H42" s="7">
        <f>L42/M42</f>
        <v/>
      </c>
      <c r="I42" s="9">
        <f>E42/1.055</f>
        <v/>
      </c>
      <c r="J42" s="9">
        <f>I42-C42</f>
        <v/>
      </c>
      <c r="K42" s="9">
        <f>J42*F42</f>
        <v/>
      </c>
      <c r="L42" s="9">
        <f>K42*100</f>
        <v/>
      </c>
      <c r="M42" s="9">
        <f>E42*F42</f>
        <v/>
      </c>
      <c r="N42" s="9">
        <f>D42/1.055</f>
        <v/>
      </c>
      <c r="O42" s="9">
        <f>N42-B42</f>
        <v/>
      </c>
      <c r="P42" s="9">
        <f>O42*F42</f>
        <v/>
      </c>
      <c r="Q42" s="9">
        <f>P42*100</f>
        <v/>
      </c>
      <c r="R42" s="9">
        <f>D42*F42</f>
        <v/>
      </c>
    </row>
    <row r="43" ht="15" customHeight="1" s="6">
      <c r="G43" s="7">
        <f>Q43/R43</f>
        <v/>
      </c>
      <c r="H43" s="7">
        <f>L43/M43</f>
        <v/>
      </c>
      <c r="I43" s="9">
        <f>E43/1.055</f>
        <v/>
      </c>
      <c r="J43" s="9">
        <f>I43-C43</f>
        <v/>
      </c>
      <c r="K43" s="9">
        <f>J43*F43</f>
        <v/>
      </c>
      <c r="L43" s="9">
        <f>K43*100</f>
        <v/>
      </c>
      <c r="M43" s="9">
        <f>E43*F43</f>
        <v/>
      </c>
      <c r="N43" s="9">
        <f>D43/1.055</f>
        <v/>
      </c>
      <c r="O43" s="9">
        <f>N43-B43</f>
        <v/>
      </c>
      <c r="P43" s="9">
        <f>O43*F43</f>
        <v/>
      </c>
      <c r="Q43" s="9">
        <f>P43*100</f>
        <v/>
      </c>
      <c r="R43" s="9">
        <f>D43*F43</f>
        <v/>
      </c>
    </row>
    <row r="44" ht="15" customHeight="1" s="6">
      <c r="G44" s="7">
        <f>Q44/R44</f>
        <v/>
      </c>
      <c r="H44" s="7">
        <f>L44/M44</f>
        <v/>
      </c>
      <c r="I44" s="9">
        <f>E44/1.055</f>
        <v/>
      </c>
      <c r="J44" s="9">
        <f>I44-C44</f>
        <v/>
      </c>
      <c r="K44" s="9">
        <f>J44*F44</f>
        <v/>
      </c>
      <c r="L44" s="9">
        <f>K44*100</f>
        <v/>
      </c>
      <c r="M44" s="9">
        <f>E44*F44</f>
        <v/>
      </c>
      <c r="N44" s="9">
        <f>D44/1.055</f>
        <v/>
      </c>
      <c r="O44" s="9">
        <f>N44-B44</f>
        <v/>
      </c>
      <c r="P44" s="9">
        <f>O44*F44</f>
        <v/>
      </c>
      <c r="Q44" s="9">
        <f>P44*100</f>
        <v/>
      </c>
      <c r="R44" s="9">
        <f>D44*F44</f>
        <v/>
      </c>
    </row>
    <row r="45" ht="15" customHeight="1" s="6">
      <c r="G45" s="7">
        <f>Q45/R45</f>
        <v/>
      </c>
      <c r="H45" s="7">
        <f>L45/M45</f>
        <v/>
      </c>
      <c r="I45" s="9">
        <f>E45/1.055</f>
        <v/>
      </c>
      <c r="J45" s="9">
        <f>I45-C45</f>
        <v/>
      </c>
      <c r="K45" s="9">
        <f>J45*F45</f>
        <v/>
      </c>
      <c r="L45" s="9">
        <f>K45*100</f>
        <v/>
      </c>
      <c r="M45" s="9">
        <f>E45*F45</f>
        <v/>
      </c>
      <c r="N45" s="9">
        <f>D45/1.055</f>
        <v/>
      </c>
      <c r="O45" s="9">
        <f>N45-B45</f>
        <v/>
      </c>
      <c r="P45" s="9">
        <f>O45*F45</f>
        <v/>
      </c>
      <c r="Q45" s="9">
        <f>P45*100</f>
        <v/>
      </c>
      <c r="R45" s="9">
        <f>D45*F45</f>
        <v/>
      </c>
    </row>
    <row r="46" ht="15" customHeight="1" s="6">
      <c r="G46" s="7">
        <f>Q46/R46</f>
        <v/>
      </c>
      <c r="H46" s="7">
        <f>L46/M46</f>
        <v/>
      </c>
      <c r="I46" s="9">
        <f>E46/1.055</f>
        <v/>
      </c>
      <c r="J46" s="9">
        <f>I46-C46</f>
        <v/>
      </c>
      <c r="K46" s="9">
        <f>J46*F46</f>
        <v/>
      </c>
      <c r="L46" s="9">
        <f>K46*100</f>
        <v/>
      </c>
      <c r="M46" s="9">
        <f>E46*F46</f>
        <v/>
      </c>
      <c r="N46" s="9">
        <f>D46/1.055</f>
        <v/>
      </c>
      <c r="O46" s="9">
        <f>N46-B46</f>
        <v/>
      </c>
      <c r="P46" s="9">
        <f>O46*F46</f>
        <v/>
      </c>
      <c r="Q46" s="9">
        <f>P46*100</f>
        <v/>
      </c>
      <c r="R46" s="9">
        <f>D46*F46</f>
        <v/>
      </c>
    </row>
    <row r="47" ht="15" customHeight="1" s="6">
      <c r="G47" s="7">
        <f>Q47/R47</f>
        <v/>
      </c>
      <c r="H47" s="7">
        <f>L47/M47</f>
        <v/>
      </c>
      <c r="I47" s="9">
        <f>E47/1.055</f>
        <v/>
      </c>
      <c r="J47" s="9">
        <f>I47-C47</f>
        <v/>
      </c>
      <c r="K47" s="9">
        <f>J47*F47</f>
        <v/>
      </c>
      <c r="L47" s="9">
        <f>K47*100</f>
        <v/>
      </c>
      <c r="M47" s="9">
        <f>E47*F47</f>
        <v/>
      </c>
      <c r="N47" s="9">
        <f>D47/1.055</f>
        <v/>
      </c>
      <c r="O47" s="9">
        <f>N47-B47</f>
        <v/>
      </c>
      <c r="P47" s="9">
        <f>O47*F47</f>
        <v/>
      </c>
      <c r="Q47" s="9">
        <f>P47*100</f>
        <v/>
      </c>
      <c r="R47" s="9">
        <f>D47*F47</f>
        <v/>
      </c>
    </row>
    <row r="48" ht="15" customHeight="1" s="6">
      <c r="G48" s="7">
        <f>Q48/R48</f>
        <v/>
      </c>
      <c r="H48" s="7">
        <f>L48/M48</f>
        <v/>
      </c>
      <c r="I48" s="9">
        <f>E48/1.055</f>
        <v/>
      </c>
      <c r="J48" s="9">
        <f>I48-C48</f>
        <v/>
      </c>
      <c r="K48" s="9">
        <f>J48*F48</f>
        <v/>
      </c>
      <c r="L48" s="9">
        <f>K48*100</f>
        <v/>
      </c>
      <c r="M48" s="9">
        <f>E48*F48</f>
        <v/>
      </c>
      <c r="N48" s="9">
        <f>D48/1.055</f>
        <v/>
      </c>
      <c r="O48" s="9">
        <f>N48-B48</f>
        <v/>
      </c>
      <c r="P48" s="9">
        <f>O48*F48</f>
        <v/>
      </c>
      <c r="Q48" s="9">
        <f>P48*100</f>
        <v/>
      </c>
      <c r="R48" s="9">
        <f>D48*F48</f>
        <v/>
      </c>
    </row>
    <row r="49" ht="15" customHeight="1" s="6">
      <c r="G49" s="7">
        <f>Q49/R49</f>
        <v/>
      </c>
      <c r="H49" s="7">
        <f>L49/M49</f>
        <v/>
      </c>
      <c r="I49" s="9">
        <f>E49/1.055</f>
        <v/>
      </c>
      <c r="J49" s="9">
        <f>I49-C49</f>
        <v/>
      </c>
      <c r="K49" s="9">
        <f>J49*F49</f>
        <v/>
      </c>
      <c r="L49" s="9">
        <f>K49*100</f>
        <v/>
      </c>
      <c r="M49" s="9">
        <f>E49*F49</f>
        <v/>
      </c>
      <c r="N49" s="9">
        <f>D49/1.055</f>
        <v/>
      </c>
      <c r="O49" s="9">
        <f>N49-B49</f>
        <v/>
      </c>
      <c r="P49" s="9">
        <f>O49*F49</f>
        <v/>
      </c>
      <c r="Q49" s="9">
        <f>P49*100</f>
        <v/>
      </c>
      <c r="R49" s="9">
        <f>D49*F49</f>
        <v/>
      </c>
    </row>
    <row r="50" ht="15" customHeight="1" s="6">
      <c r="G50" s="7">
        <f>Q50/R50</f>
        <v/>
      </c>
      <c r="H50" s="7">
        <f>L50/M50</f>
        <v/>
      </c>
      <c r="I50" s="9">
        <f>E50/1.055</f>
        <v/>
      </c>
      <c r="J50" s="9">
        <f>I50-C50</f>
        <v/>
      </c>
      <c r="K50" s="9">
        <f>J50*F50</f>
        <v/>
      </c>
      <c r="L50" s="9">
        <f>K50*100</f>
        <v/>
      </c>
      <c r="M50" s="9">
        <f>E50*F50</f>
        <v/>
      </c>
      <c r="N50" s="9">
        <f>D50/1.055</f>
        <v/>
      </c>
      <c r="O50" s="9">
        <f>N50-B50</f>
        <v/>
      </c>
      <c r="P50" s="9">
        <f>O50*F50</f>
        <v/>
      </c>
      <c r="Q50" s="9">
        <f>P50*100</f>
        <v/>
      </c>
      <c r="R50" s="9">
        <f>D50*F50</f>
        <v/>
      </c>
    </row>
    <row r="51" ht="15" customHeight="1" s="6">
      <c r="G51" s="7">
        <f>Q51/R51</f>
        <v/>
      </c>
      <c r="H51" s="7">
        <f>L51/M51</f>
        <v/>
      </c>
      <c r="I51" s="9">
        <f>E51/1.055</f>
        <v/>
      </c>
      <c r="J51" s="9">
        <f>I51-C51</f>
        <v/>
      </c>
      <c r="K51" s="9">
        <f>J51*F51</f>
        <v/>
      </c>
      <c r="L51" s="9">
        <f>K51*100</f>
        <v/>
      </c>
      <c r="M51" s="9">
        <f>E51*F51</f>
        <v/>
      </c>
      <c r="N51" s="9">
        <f>D51/1.055</f>
        <v/>
      </c>
      <c r="O51" s="9">
        <f>N51-B51</f>
        <v/>
      </c>
      <c r="P51" s="9">
        <f>O51*F51</f>
        <v/>
      </c>
      <c r="Q51" s="9">
        <f>P51*100</f>
        <v/>
      </c>
      <c r="R51" s="9">
        <f>D51*F51</f>
        <v/>
      </c>
    </row>
  </sheetData>
  <conditionalFormatting sqref="E50">
    <cfRule type="cellIs" rank="0" priority="2" equalAverage="0" operator="lessThan" aboveAverage="0" dxfId="0" text="" percent="0" bottom="0">
      <formula>$D$50</formula>
    </cfRule>
  </conditionalFormatting>
  <conditionalFormatting sqref="D50">
    <cfRule type="cellIs" rank="0" priority="3" equalAverage="0" operator="lessThan" aboveAverage="0" dxfId="0" text="" percent="0" bottom="0">
      <formula>$E$50</formula>
    </cfRule>
  </conditionalFormatting>
  <conditionalFormatting sqref="E49">
    <cfRule type="cellIs" rank="0" priority="4" equalAverage="0" operator="lessThan" aboveAverage="0" dxfId="0" text="" percent="0" bottom="0">
      <formula>$D$49</formula>
    </cfRule>
  </conditionalFormatting>
  <conditionalFormatting sqref="D49">
    <cfRule type="cellIs" rank="0" priority="5" equalAverage="0" operator="lessThan" aboveAverage="0" dxfId="0" text="" percent="0" bottom="0">
      <formula>$E$49</formula>
    </cfRule>
  </conditionalFormatting>
  <conditionalFormatting sqref="E48">
    <cfRule type="cellIs" rank="0" priority="6" equalAverage="0" operator="lessThan" aboveAverage="0" dxfId="0" text="" percent="0" bottom="0">
      <formula>$D$48</formula>
    </cfRule>
  </conditionalFormatting>
  <conditionalFormatting sqref="D48">
    <cfRule type="cellIs" rank="0" priority="7" equalAverage="0" operator="lessThan" aboveAverage="0" dxfId="0" text="" percent="0" bottom="0">
      <formula>$E$48</formula>
    </cfRule>
  </conditionalFormatting>
  <conditionalFormatting sqref="E47">
    <cfRule type="cellIs" rank="0" priority="8" equalAverage="0" operator="lessThan" aboveAverage="0" dxfId="0" text="" percent="0" bottom="0">
      <formula>$D$47</formula>
    </cfRule>
  </conditionalFormatting>
  <conditionalFormatting sqref="D47">
    <cfRule type="cellIs" rank="0" priority="9" equalAverage="0" operator="lessThan" aboveAverage="0" dxfId="0" text="" percent="0" bottom="0">
      <formula>$E$47</formula>
    </cfRule>
  </conditionalFormatting>
  <conditionalFormatting sqref="E46">
    <cfRule type="cellIs" rank="0" priority="10" equalAverage="0" operator="lessThan" aboveAverage="0" dxfId="0" text="" percent="0" bottom="0">
      <formula>$D$46</formula>
    </cfRule>
  </conditionalFormatting>
  <conditionalFormatting sqref="D46">
    <cfRule type="cellIs" rank="0" priority="11" equalAverage="0" operator="lessThan" aboveAverage="0" dxfId="0" text="" percent="0" bottom="0">
      <formula>$E$46</formula>
    </cfRule>
  </conditionalFormatting>
  <conditionalFormatting sqref="E45">
    <cfRule type="cellIs" rank="0" priority="12" equalAverage="0" operator="lessThan" aboveAverage="0" dxfId="0" text="" percent="0" bottom="0">
      <formula>$D$45</formula>
    </cfRule>
  </conditionalFormatting>
  <conditionalFormatting sqref="D45">
    <cfRule type="cellIs" rank="0" priority="13" equalAverage="0" operator="lessThan" aboveAverage="0" dxfId="0" text="" percent="0" bottom="0">
      <formula>$E$45</formula>
    </cfRule>
  </conditionalFormatting>
  <conditionalFormatting sqref="E44">
    <cfRule type="cellIs" rank="0" priority="14" equalAverage="0" operator="lessThan" aboveAverage="0" dxfId="0" text="" percent="0" bottom="0">
      <formula>$D$44</formula>
    </cfRule>
  </conditionalFormatting>
  <conditionalFormatting sqref="D44">
    <cfRule type="cellIs" rank="0" priority="15" equalAverage="0" operator="lessThan" aboveAverage="0" dxfId="0" text="" percent="0" bottom="0">
      <formula>$E$44</formula>
    </cfRule>
  </conditionalFormatting>
  <conditionalFormatting sqref="E43">
    <cfRule type="cellIs" rank="0" priority="16" equalAverage="0" operator="lessThan" aboveAverage="0" dxfId="0" text="" percent="0" bottom="0">
      <formula>$D$43</formula>
    </cfRule>
  </conditionalFormatting>
  <conditionalFormatting sqref="D43">
    <cfRule type="cellIs" rank="0" priority="17" equalAverage="0" operator="lessThan" aboveAverage="0" dxfId="0" text="" percent="0" bottom="0">
      <formula>$E$43</formula>
    </cfRule>
  </conditionalFormatting>
  <conditionalFormatting sqref="E42">
    <cfRule type="cellIs" rank="0" priority="18" equalAverage="0" operator="lessThan" aboveAverage="0" dxfId="0" text="" percent="0" bottom="0">
      <formula>$D$42</formula>
    </cfRule>
  </conditionalFormatting>
  <conditionalFormatting sqref="D42">
    <cfRule type="cellIs" rank="0" priority="19" equalAverage="0" operator="lessThan" aboveAverage="0" dxfId="0" text="" percent="0" bottom="0">
      <formula>$E$42</formula>
    </cfRule>
  </conditionalFormatting>
  <conditionalFormatting sqref="E41">
    <cfRule type="cellIs" rank="0" priority="20" equalAverage="0" operator="lessThan" aboveAverage="0" dxfId="0" text="" percent="0" bottom="0">
      <formula>$D$41</formula>
    </cfRule>
  </conditionalFormatting>
  <conditionalFormatting sqref="D41">
    <cfRule type="cellIs" rank="0" priority="21" equalAverage="0" operator="lessThan" aboveAverage="0" dxfId="0" text="" percent="0" bottom="0">
      <formula>$E$41</formula>
    </cfRule>
  </conditionalFormatting>
  <conditionalFormatting sqref="E40">
    <cfRule type="cellIs" rank="0" priority="22" equalAverage="0" operator="lessThan" aboveAverage="0" dxfId="0" text="" percent="0" bottom="0">
      <formula>$D$40</formula>
    </cfRule>
  </conditionalFormatting>
  <conditionalFormatting sqref="D40">
    <cfRule type="cellIs" rank="0" priority="23" equalAverage="0" operator="lessThan" aboveAverage="0" dxfId="0" text="" percent="0" bottom="0">
      <formula>$E$40</formula>
    </cfRule>
  </conditionalFormatting>
  <conditionalFormatting sqref="E39">
    <cfRule type="cellIs" rank="0" priority="24" equalAverage="0" operator="lessThan" aboveAverage="0" dxfId="0" text="" percent="0" bottom="0">
      <formula>$D$39</formula>
    </cfRule>
  </conditionalFormatting>
  <conditionalFormatting sqref="D39">
    <cfRule type="cellIs" rank="0" priority="25" equalAverage="0" operator="lessThan" aboveAverage="0" dxfId="0" text="" percent="0" bottom="0">
      <formula>$E$39</formula>
    </cfRule>
  </conditionalFormatting>
  <conditionalFormatting sqref="E38">
    <cfRule type="cellIs" rank="0" priority="26" equalAverage="0" operator="lessThan" aboveAverage="0" dxfId="0" text="" percent="0" bottom="0">
      <formula>$D$38</formula>
    </cfRule>
  </conditionalFormatting>
  <conditionalFormatting sqref="D38">
    <cfRule type="cellIs" rank="0" priority="27" equalAverage="0" operator="lessThan" aboveAverage="0" dxfId="0" text="" percent="0" bottom="0">
      <formula>$E$38</formula>
    </cfRule>
  </conditionalFormatting>
  <conditionalFormatting sqref="E37">
    <cfRule type="cellIs" rank="0" priority="28" equalAverage="0" operator="lessThan" aboveAverage="0" dxfId="0" text="" percent="0" bottom="0">
      <formula>$D$37</formula>
    </cfRule>
  </conditionalFormatting>
  <conditionalFormatting sqref="D37">
    <cfRule type="cellIs" rank="0" priority="29" equalAverage="0" operator="lessThan" aboveAverage="0" dxfId="0" text="" percent="0" bottom="0">
      <formula>$E$37</formula>
    </cfRule>
  </conditionalFormatting>
  <conditionalFormatting sqref="E36">
    <cfRule type="cellIs" rank="0" priority="30" equalAverage="0" operator="lessThan" aboveAverage="0" dxfId="0" text="" percent="0" bottom="0">
      <formula>$D$36</formula>
    </cfRule>
  </conditionalFormatting>
  <conditionalFormatting sqref="D36">
    <cfRule type="cellIs" rank="0" priority="31" equalAverage="0" operator="lessThan" aboveAverage="0" dxfId="0" text="" percent="0" bottom="0">
      <formula>$E$36</formula>
    </cfRule>
  </conditionalFormatting>
  <conditionalFormatting sqref="E35">
    <cfRule type="cellIs" rank="0" priority="32" equalAverage="0" operator="lessThan" aboveAverage="0" dxfId="0" text="" percent="0" bottom="0">
      <formula>$D$35</formula>
    </cfRule>
  </conditionalFormatting>
  <conditionalFormatting sqref="D35">
    <cfRule type="cellIs" rank="0" priority="33" equalAverage="0" operator="lessThan" aboveAverage="0" dxfId="0" text="" percent="0" bottom="0">
      <formula>$E$35</formula>
    </cfRule>
  </conditionalFormatting>
  <conditionalFormatting sqref="E34">
    <cfRule type="cellIs" rank="0" priority="34" equalAverage="0" operator="lessThan" aboveAverage="0" dxfId="0" text="" percent="0" bottom="0">
      <formula>$D$34</formula>
    </cfRule>
  </conditionalFormatting>
  <conditionalFormatting sqref="D34">
    <cfRule type="cellIs" rank="0" priority="35" equalAverage="0" operator="lessThan" aboveAverage="0" dxfId="0" text="" percent="0" bottom="0">
      <formula>$E$34</formula>
    </cfRule>
  </conditionalFormatting>
  <conditionalFormatting sqref="E33">
    <cfRule type="cellIs" rank="0" priority="36" equalAverage="0" operator="lessThan" aboveAverage="0" dxfId="0" text="" percent="0" bottom="0">
      <formula>$D$33</formula>
    </cfRule>
  </conditionalFormatting>
  <conditionalFormatting sqref="D33">
    <cfRule type="cellIs" rank="0" priority="37" equalAverage="0" operator="lessThan" aboveAverage="0" dxfId="0" text="" percent="0" bottom="0">
      <formula>$E$33</formula>
    </cfRule>
  </conditionalFormatting>
  <conditionalFormatting sqref="E32">
    <cfRule type="cellIs" rank="0" priority="38" equalAverage="0" operator="lessThan" aboveAverage="0" dxfId="0" text="" percent="0" bottom="0">
      <formula>$D$32</formula>
    </cfRule>
  </conditionalFormatting>
  <conditionalFormatting sqref="D32">
    <cfRule type="cellIs" rank="0" priority="39" equalAverage="0" operator="lessThan" aboveAverage="0" dxfId="0" text="" percent="0" bottom="0">
      <formula>$E$32</formula>
    </cfRule>
  </conditionalFormatting>
  <conditionalFormatting sqref="E31">
    <cfRule type="cellIs" rank="0" priority="40" equalAverage="0" operator="lessThan" aboveAverage="0" dxfId="0" text="" percent="0" bottom="0">
      <formula>$D$31</formula>
    </cfRule>
  </conditionalFormatting>
  <conditionalFormatting sqref="D31">
    <cfRule type="cellIs" rank="0" priority="41" equalAverage="0" operator="lessThan" aboveAverage="0" dxfId="0" text="" percent="0" bottom="0">
      <formula>$E$31</formula>
    </cfRule>
  </conditionalFormatting>
  <conditionalFormatting sqref="E30">
    <cfRule type="cellIs" rank="0" priority="42" equalAverage="0" operator="lessThan" aboveAverage="0" dxfId="0" text="" percent="0" bottom="0">
      <formula>$D$30</formula>
    </cfRule>
  </conditionalFormatting>
  <conditionalFormatting sqref="D30">
    <cfRule type="cellIs" rank="0" priority="43" equalAverage="0" operator="lessThan" aboveAverage="0" dxfId="0" text="" percent="0" bottom="0">
      <formula>$E$30</formula>
    </cfRule>
  </conditionalFormatting>
  <conditionalFormatting sqref="E29">
    <cfRule type="cellIs" rank="0" priority="44" equalAverage="0" operator="lessThan" aboveAverage="0" dxfId="0" text="" percent="0" bottom="0">
      <formula>$D$29</formula>
    </cfRule>
  </conditionalFormatting>
  <conditionalFormatting sqref="D29">
    <cfRule type="cellIs" rank="0" priority="45" equalAverage="0" operator="lessThan" aboveAverage="0" dxfId="0" text="" percent="0" bottom="0">
      <formula>$E$29</formula>
    </cfRule>
  </conditionalFormatting>
  <conditionalFormatting sqref="E28">
    <cfRule type="cellIs" rank="0" priority="46" equalAverage="0" operator="lessThan" aboveAverage="0" dxfId="0" text="" percent="0" bottom="0">
      <formula>$D$28</formula>
    </cfRule>
  </conditionalFormatting>
  <conditionalFormatting sqref="D28">
    <cfRule type="cellIs" rank="0" priority="47" equalAverage="0" operator="lessThan" aboveAverage="0" dxfId="0" text="" percent="0" bottom="0">
      <formula>$E$28</formula>
    </cfRule>
  </conditionalFormatting>
  <conditionalFormatting sqref="E27">
    <cfRule type="cellIs" rank="0" priority="48" equalAverage="0" operator="lessThan" aboveAverage="0" dxfId="0" text="" percent="0" bottom="0">
      <formula>$D$27</formula>
    </cfRule>
  </conditionalFormatting>
  <conditionalFormatting sqref="D27">
    <cfRule type="cellIs" rank="0" priority="49" equalAverage="0" operator="lessThan" aboveAverage="0" dxfId="0" text="" percent="0" bottom="0">
      <formula>$E$27</formula>
    </cfRule>
  </conditionalFormatting>
  <conditionalFormatting sqref="E26">
    <cfRule type="cellIs" rank="0" priority="50" equalAverage="0" operator="lessThan" aboveAverage="0" dxfId="0" text="" percent="0" bottom="0">
      <formula>$D$26</formula>
    </cfRule>
  </conditionalFormatting>
  <conditionalFormatting sqref="D26">
    <cfRule type="cellIs" rank="0" priority="51" equalAverage="0" operator="lessThan" aboveAverage="0" dxfId="0" text="" percent="0" bottom="0">
      <formula>$E$26</formula>
    </cfRule>
  </conditionalFormatting>
  <conditionalFormatting sqref="E25">
    <cfRule type="cellIs" rank="0" priority="52" equalAverage="0" operator="lessThan" aboveAverage="0" dxfId="0" text="" percent="0" bottom="0">
      <formula>$D$25</formula>
    </cfRule>
  </conditionalFormatting>
  <conditionalFormatting sqref="D25">
    <cfRule type="cellIs" rank="0" priority="53" equalAverage="0" operator="lessThan" aboveAverage="0" dxfId="0" text="" percent="0" bottom="0">
      <formula>$E$25</formula>
    </cfRule>
  </conditionalFormatting>
  <conditionalFormatting sqref="E24">
    <cfRule type="cellIs" rank="0" priority="54" equalAverage="0" operator="lessThan" aboveAverage="0" dxfId="0" text="" percent="0" bottom="0">
      <formula>$D$24</formula>
    </cfRule>
  </conditionalFormatting>
  <conditionalFormatting sqref="D24">
    <cfRule type="cellIs" rank="0" priority="55" equalAverage="0" operator="lessThan" aboveAverage="0" dxfId="0" text="" percent="0" bottom="0">
      <formula>$E$24</formula>
    </cfRule>
  </conditionalFormatting>
  <conditionalFormatting sqref="E23">
    <cfRule type="cellIs" rank="0" priority="56" equalAverage="0" operator="lessThan" aboveAverage="0" dxfId="0" text="" percent="0" bottom="0">
      <formula>$D$23</formula>
    </cfRule>
  </conditionalFormatting>
  <conditionalFormatting sqref="D23">
    <cfRule type="cellIs" rank="0" priority="57" equalAverage="0" operator="lessThan" aboveAverage="0" dxfId="0" text="" percent="0" bottom="0">
      <formula>$E$23</formula>
    </cfRule>
  </conditionalFormatting>
  <conditionalFormatting sqref="E22">
    <cfRule type="cellIs" rank="0" priority="58" equalAverage="0" operator="lessThan" aboveAverage="0" dxfId="0" text="" percent="0" bottom="0">
      <formula>$D$22</formula>
    </cfRule>
  </conditionalFormatting>
  <conditionalFormatting sqref="D22">
    <cfRule type="cellIs" rank="0" priority="59" equalAverage="0" operator="lessThan" aboveAverage="0" dxfId="0" text="" percent="0" bottom="0">
      <formula>$E$22</formula>
    </cfRule>
  </conditionalFormatting>
  <conditionalFormatting sqref="E21">
    <cfRule type="cellIs" rank="0" priority="60" equalAverage="0" operator="lessThan" aboveAverage="0" dxfId="0" text="" percent="0" bottom="0">
      <formula>$D$21</formula>
    </cfRule>
  </conditionalFormatting>
  <conditionalFormatting sqref="D21">
    <cfRule type="cellIs" rank="0" priority="61" equalAverage="0" operator="lessThan" aboveAverage="0" dxfId="0" text="" percent="0" bottom="0">
      <formula>$E$21</formula>
    </cfRule>
  </conditionalFormatting>
  <conditionalFormatting sqref="E20">
    <cfRule type="cellIs" rank="0" priority="62" equalAverage="0" operator="lessThan" aboveAverage="0" dxfId="0" text="" percent="0" bottom="0">
      <formula>$D$20</formula>
    </cfRule>
  </conditionalFormatting>
  <conditionalFormatting sqref="D20">
    <cfRule type="cellIs" rank="0" priority="63" equalAverage="0" operator="lessThan" aboveAverage="0" dxfId="0" text="" percent="0" bottom="0">
      <formula>$E$20</formula>
    </cfRule>
  </conditionalFormatting>
  <conditionalFormatting sqref="E19">
    <cfRule type="cellIs" rank="0" priority="64" equalAverage="0" operator="lessThan" aboveAverage="0" dxfId="0" text="" percent="0" bottom="0">
      <formula>$D$19</formula>
    </cfRule>
  </conditionalFormatting>
  <conditionalFormatting sqref="D19">
    <cfRule type="cellIs" rank="0" priority="65" equalAverage="0" operator="lessThan" aboveAverage="0" dxfId="0" text="" percent="0" bottom="0">
      <formula>$E$19</formula>
    </cfRule>
  </conditionalFormatting>
  <conditionalFormatting sqref="E18">
    <cfRule type="cellIs" rank="0" priority="66" equalAverage="0" operator="lessThan" aboveAverage="0" dxfId="0" text="" percent="0" bottom="0">
      <formula>$D$18</formula>
    </cfRule>
  </conditionalFormatting>
  <conditionalFormatting sqref="D18">
    <cfRule type="cellIs" rank="0" priority="67" equalAverage="0" operator="lessThan" aboveAverage="0" dxfId="0" text="" percent="0" bottom="0">
      <formula>$E$18</formula>
    </cfRule>
  </conditionalFormatting>
  <conditionalFormatting sqref="E17">
    <cfRule type="cellIs" rank="0" priority="68" equalAverage="0" operator="lessThan" aboveAverage="0" dxfId="0" text="" percent="0" bottom="0">
      <formula>$D$17</formula>
    </cfRule>
  </conditionalFormatting>
  <conditionalFormatting sqref="D17">
    <cfRule type="cellIs" rank="0" priority="69" equalAverage="0" operator="lessThan" aboveAverage="0" dxfId="0" text="" percent="0" bottom="0">
      <formula>$E$17</formula>
    </cfRule>
  </conditionalFormatting>
  <conditionalFormatting sqref="E16">
    <cfRule type="cellIs" rank="0" priority="70" equalAverage="0" operator="lessThan" aboveAverage="0" dxfId="0" text="" percent="0" bottom="0">
      <formula>$D$16</formula>
    </cfRule>
  </conditionalFormatting>
  <conditionalFormatting sqref="D16">
    <cfRule type="cellIs" rank="0" priority="71" equalAverage="0" operator="lessThan" aboveAverage="0" dxfId="0" text="" percent="0" bottom="0">
      <formula>$E$16</formula>
    </cfRule>
  </conditionalFormatting>
  <conditionalFormatting sqref="E15">
    <cfRule type="cellIs" rank="0" priority="72" equalAverage="0" operator="lessThan" aboveAverage="0" dxfId="0" text="" percent="0" bottom="0">
      <formula>$D$15</formula>
    </cfRule>
  </conditionalFormatting>
  <conditionalFormatting sqref="D15">
    <cfRule type="cellIs" rank="0" priority="73" equalAverage="0" operator="lessThan" aboveAverage="0" dxfId="0" text="" percent="0" bottom="0">
      <formula>$E$15</formula>
    </cfRule>
  </conditionalFormatting>
  <conditionalFormatting sqref="E14">
    <cfRule type="cellIs" rank="0" priority="74" equalAverage="0" operator="lessThan" aboveAverage="0" dxfId="0" text="" percent="0" bottom="0">
      <formula>$D$14</formula>
    </cfRule>
  </conditionalFormatting>
  <conditionalFormatting sqref="D14">
    <cfRule type="cellIs" rank="0" priority="75" equalAverage="0" operator="lessThan" aboveAverage="0" dxfId="0" text="" percent="0" bottom="0">
      <formula>$E$14</formula>
    </cfRule>
  </conditionalFormatting>
  <conditionalFormatting sqref="E13">
    <cfRule type="cellIs" rank="0" priority="76" equalAverage="0" operator="lessThan" aboveAverage="0" dxfId="0" text="" percent="0" bottom="0">
      <formula>$D$13</formula>
    </cfRule>
  </conditionalFormatting>
  <conditionalFormatting sqref="D13">
    <cfRule type="cellIs" rank="0" priority="77" equalAverage="0" operator="lessThan" aboveAverage="0" dxfId="0" text="" percent="0" bottom="0">
      <formula>$E$13</formula>
    </cfRule>
  </conditionalFormatting>
  <conditionalFormatting sqref="E12">
    <cfRule type="cellIs" rank="0" priority="78" equalAverage="0" operator="lessThan" aboveAverage="0" dxfId="0" text="" percent="0" bottom="0">
      <formula>$D$12</formula>
    </cfRule>
  </conditionalFormatting>
  <conditionalFormatting sqref="D12">
    <cfRule type="cellIs" rank="0" priority="79" equalAverage="0" operator="lessThan" aboveAverage="0" dxfId="0" text="" percent="0" bottom="0">
      <formula>$E$12</formula>
    </cfRule>
  </conditionalFormatting>
  <conditionalFormatting sqref="E11">
    <cfRule type="cellIs" rank="0" priority="80" equalAverage="0" operator="lessThan" aboveAverage="0" dxfId="0" text="" percent="0" bottom="0">
      <formula>$D$11</formula>
    </cfRule>
  </conditionalFormatting>
  <conditionalFormatting sqref="D11">
    <cfRule type="cellIs" rank="0" priority="81" equalAverage="0" operator="lessThan" aboveAverage="0" dxfId="0" text="" percent="0" bottom="0">
      <formula>$E$11</formula>
    </cfRule>
  </conditionalFormatting>
  <conditionalFormatting sqref="E10">
    <cfRule type="cellIs" rank="0" priority="82" equalAverage="0" operator="lessThan" aboveAverage="0" dxfId="0" text="" percent="0" bottom="0">
      <formula>$D$10</formula>
    </cfRule>
  </conditionalFormatting>
  <conditionalFormatting sqref="D10">
    <cfRule type="cellIs" rank="0" priority="83" equalAverage="0" operator="lessThan" aboveAverage="0" dxfId="0" text="" percent="0" bottom="0">
      <formula>$E$10</formula>
    </cfRule>
  </conditionalFormatting>
  <conditionalFormatting sqref="E9">
    <cfRule type="cellIs" rank="0" priority="84" equalAverage="0" operator="lessThan" aboveAverage="0" dxfId="0" text="" percent="0" bottom="0">
      <formula>$D$9</formula>
    </cfRule>
  </conditionalFormatting>
  <conditionalFormatting sqref="D9">
    <cfRule type="cellIs" rank="0" priority="85" equalAverage="0" operator="lessThan" aboveAverage="0" dxfId="0" text="" percent="0" bottom="0">
      <formula>$E$9</formula>
    </cfRule>
  </conditionalFormatting>
  <conditionalFormatting sqref="E8">
    <cfRule type="cellIs" rank="0" priority="86" equalAverage="0" operator="lessThan" aboveAverage="0" dxfId="0" text="" percent="0" bottom="0">
      <formula>$D$8</formula>
    </cfRule>
  </conditionalFormatting>
  <conditionalFormatting sqref="D8">
    <cfRule type="cellIs" rank="0" priority="87" equalAverage="0" operator="lessThan" aboveAverage="0" dxfId="0" text="" percent="0" bottom="0">
      <formula>$E$8</formula>
    </cfRule>
  </conditionalFormatting>
  <conditionalFormatting sqref="E7">
    <cfRule type="cellIs" rank="0" priority="88" equalAverage="0" operator="lessThan" aboveAverage="0" dxfId="0" text="" percent="0" bottom="0">
      <formula>$D$7</formula>
    </cfRule>
  </conditionalFormatting>
  <conditionalFormatting sqref="D7">
    <cfRule type="cellIs" rank="0" priority="89" equalAverage="0" operator="lessThan" aboveAverage="0" dxfId="0" text="" percent="0" bottom="0">
      <formula>$E$7</formula>
    </cfRule>
  </conditionalFormatting>
  <conditionalFormatting sqref="E6">
    <cfRule type="cellIs" rank="0" priority="90" equalAverage="0" operator="lessThan" aboveAverage="0" dxfId="0" text="" percent="0" bottom="0">
      <formula>$D$6</formula>
    </cfRule>
  </conditionalFormatting>
  <conditionalFormatting sqref="D6">
    <cfRule type="cellIs" rank="0" priority="91" equalAverage="0" operator="lessThan" aboveAverage="0" dxfId="0" text="" percent="0" bottom="0">
      <formula>$E$6</formula>
    </cfRule>
  </conditionalFormatting>
  <conditionalFormatting sqref="E5">
    <cfRule type="cellIs" rank="0" priority="92" equalAverage="0" operator="lessThan" aboveAverage="0" dxfId="0" text="" percent="0" bottom="0">
      <formula>$D$5</formula>
    </cfRule>
  </conditionalFormatting>
  <conditionalFormatting sqref="D5">
    <cfRule type="cellIs" rank="0" priority="93" equalAverage="0" operator="lessThan" aboveAverage="0" dxfId="0" text="" percent="0" bottom="0">
      <formula>$E$5</formula>
    </cfRule>
  </conditionalFormatting>
  <conditionalFormatting sqref="E4">
    <cfRule type="cellIs" rank="0" priority="94" equalAverage="0" operator="lessThan" aboveAverage="0" dxfId="0" text="" percent="0" bottom="0">
      <formula>$D$4</formula>
    </cfRule>
  </conditionalFormatting>
  <conditionalFormatting sqref="D4">
    <cfRule type="cellIs" rank="0" priority="95" equalAverage="0" operator="lessThan" aboveAverage="0" dxfId="0" text="" percent="0" bottom="0">
      <formula>$E$4</formula>
    </cfRule>
  </conditionalFormatting>
  <conditionalFormatting sqref="C50">
    <cfRule type="cellIs" rank="0" priority="96" equalAverage="0" operator="lessThan" aboveAverage="0" dxfId="0" text="" percent="0" bottom="0">
      <formula>$B$50</formula>
    </cfRule>
  </conditionalFormatting>
  <conditionalFormatting sqref="B50">
    <cfRule type="cellIs" rank="0" priority="97" equalAverage="0" operator="lessThan" aboveAverage="0" dxfId="0" text="" percent="0" bottom="0">
      <formula>$C$50</formula>
    </cfRule>
  </conditionalFormatting>
  <conditionalFormatting sqref="C49">
    <cfRule type="cellIs" rank="0" priority="98" equalAverage="0" operator="lessThan" aboveAverage="0" dxfId="0" text="" percent="0" bottom="0">
      <formula>$B$49</formula>
    </cfRule>
  </conditionalFormatting>
  <conditionalFormatting sqref="B49">
    <cfRule type="cellIs" rank="0" priority="99" equalAverage="0" operator="lessThan" aboveAverage="0" dxfId="0" text="" percent="0" bottom="0">
      <formula>$C$49</formula>
    </cfRule>
  </conditionalFormatting>
  <conditionalFormatting sqref="C48">
    <cfRule type="cellIs" rank="0" priority="100" equalAverage="0" operator="lessThan" aboveAverage="0" dxfId="0" text="" percent="0" bottom="0">
      <formula>$B$48</formula>
    </cfRule>
  </conditionalFormatting>
  <conditionalFormatting sqref="B48">
    <cfRule type="cellIs" rank="0" priority="101" equalAverage="0" operator="lessThan" aboveAverage="0" dxfId="0" text="" percent="0" bottom="0">
      <formula>$C$48</formula>
    </cfRule>
  </conditionalFormatting>
  <conditionalFormatting sqref="C47">
    <cfRule type="cellIs" rank="0" priority="102" equalAverage="0" operator="lessThan" aboveAverage="0" dxfId="0" text="" percent="0" bottom="0">
      <formula>$B$47</formula>
    </cfRule>
  </conditionalFormatting>
  <conditionalFormatting sqref="B47">
    <cfRule type="cellIs" rank="0" priority="103" equalAverage="0" operator="lessThan" aboveAverage="0" dxfId="0" text="" percent="0" bottom="0">
      <formula>$C$47</formula>
    </cfRule>
  </conditionalFormatting>
  <conditionalFormatting sqref="C46">
    <cfRule type="cellIs" rank="0" priority="104" equalAverage="0" operator="lessThan" aboveAverage="0" dxfId="0" text="" percent="0" bottom="0">
      <formula>$B$46</formula>
    </cfRule>
  </conditionalFormatting>
  <conditionalFormatting sqref="B46">
    <cfRule type="cellIs" rank="0" priority="105" equalAverage="0" operator="lessThan" aboveAverage="0" dxfId="0" text="" percent="0" bottom="0">
      <formula>$C$46</formula>
    </cfRule>
  </conditionalFormatting>
  <conditionalFormatting sqref="C45">
    <cfRule type="cellIs" rank="0" priority="106" equalAverage="0" operator="lessThan" aboveAverage="0" dxfId="0" text="" percent="0" bottom="0">
      <formula>$B$45</formula>
    </cfRule>
  </conditionalFormatting>
  <conditionalFormatting sqref="B45">
    <cfRule type="cellIs" rank="0" priority="107" equalAverage="0" operator="lessThan" aboveAverage="0" dxfId="0" text="" percent="0" bottom="0">
      <formula>$C$45</formula>
    </cfRule>
  </conditionalFormatting>
  <conditionalFormatting sqref="C44">
    <cfRule type="cellIs" rank="0" priority="108" equalAverage="0" operator="lessThan" aboveAverage="0" dxfId="0" text="" percent="0" bottom="0">
      <formula>$B$44</formula>
    </cfRule>
  </conditionalFormatting>
  <conditionalFormatting sqref="B44">
    <cfRule type="cellIs" rank="0" priority="109" equalAverage="0" operator="lessThan" aboveAverage="0" dxfId="0" text="" percent="0" bottom="0">
      <formula>$C$44</formula>
    </cfRule>
  </conditionalFormatting>
  <conditionalFormatting sqref="C43">
    <cfRule type="cellIs" rank="0" priority="110" equalAverage="0" operator="lessThan" aboveAverage="0" dxfId="0" text="" percent="0" bottom="0">
      <formula>$B$43</formula>
    </cfRule>
  </conditionalFormatting>
  <conditionalFormatting sqref="B43">
    <cfRule type="cellIs" rank="0" priority="111" equalAverage="0" operator="lessThan" aboveAverage="0" dxfId="0" text="" percent="0" bottom="0">
      <formula>$C$43</formula>
    </cfRule>
  </conditionalFormatting>
  <conditionalFormatting sqref="C42">
    <cfRule type="cellIs" rank="0" priority="112" equalAverage="0" operator="lessThan" aboveAverage="0" dxfId="0" text="" percent="0" bottom="0">
      <formula>$B$42</formula>
    </cfRule>
  </conditionalFormatting>
  <conditionalFormatting sqref="B42">
    <cfRule type="cellIs" rank="0" priority="113" equalAverage="0" operator="lessThan" aboveAverage="0" dxfId="0" text="" percent="0" bottom="0">
      <formula>$C$42</formula>
    </cfRule>
  </conditionalFormatting>
  <conditionalFormatting sqref="C41">
    <cfRule type="cellIs" rank="0" priority="114" equalAverage="0" operator="lessThan" aboveAverage="0" dxfId="0" text="" percent="0" bottom="0">
      <formula>$B$41</formula>
    </cfRule>
  </conditionalFormatting>
  <conditionalFormatting sqref="B41">
    <cfRule type="cellIs" rank="0" priority="115" equalAverage="0" operator="lessThan" aboveAverage="0" dxfId="0" text="" percent="0" bottom="0">
      <formula>$C$41</formula>
    </cfRule>
  </conditionalFormatting>
  <conditionalFormatting sqref="C40">
    <cfRule type="cellIs" rank="0" priority="116" equalAverage="0" operator="lessThan" aboveAverage="0" dxfId="0" text="" percent="0" bottom="0">
      <formula>$B$40</formula>
    </cfRule>
  </conditionalFormatting>
  <conditionalFormatting sqref="B40">
    <cfRule type="cellIs" rank="0" priority="117" equalAverage="0" operator="lessThan" aboveAverage="0" dxfId="0" text="" percent="0" bottom="0">
      <formula>$C$40</formula>
    </cfRule>
  </conditionalFormatting>
  <conditionalFormatting sqref="C39">
    <cfRule type="cellIs" rank="0" priority="118" equalAverage="0" operator="lessThan" aboveAverage="0" dxfId="0" text="" percent="0" bottom="0">
      <formula>$B$39</formula>
    </cfRule>
  </conditionalFormatting>
  <conditionalFormatting sqref="B39">
    <cfRule type="cellIs" rank="0" priority="119" equalAverage="0" operator="lessThan" aboveAverage="0" dxfId="0" text="" percent="0" bottom="0">
      <formula>$C$39</formula>
    </cfRule>
  </conditionalFormatting>
  <conditionalFormatting sqref="C38">
    <cfRule type="cellIs" rank="0" priority="120" equalAverage="0" operator="lessThan" aboveAverage="0" dxfId="0" text="" percent="0" bottom="0">
      <formula>$B$38</formula>
    </cfRule>
  </conditionalFormatting>
  <conditionalFormatting sqref="B38">
    <cfRule type="cellIs" rank="0" priority="121" equalAverage="0" operator="lessThan" aboveAverage="0" dxfId="0" text="" percent="0" bottom="0">
      <formula>$C$38</formula>
    </cfRule>
  </conditionalFormatting>
  <conditionalFormatting sqref="C37">
    <cfRule type="cellIs" rank="0" priority="122" equalAverage="0" operator="lessThan" aboveAverage="0" dxfId="0" text="" percent="0" bottom="0">
      <formula>$B$37</formula>
    </cfRule>
  </conditionalFormatting>
  <conditionalFormatting sqref="B37">
    <cfRule type="cellIs" rank="0" priority="123" equalAverage="0" operator="lessThan" aboveAverage="0" dxfId="0" text="" percent="0" bottom="0">
      <formula>$C$37</formula>
    </cfRule>
  </conditionalFormatting>
  <conditionalFormatting sqref="C36">
    <cfRule type="cellIs" rank="0" priority="124" equalAverage="0" operator="lessThan" aboveAverage="0" dxfId="0" text="" percent="0" bottom="0">
      <formula>$B$36</formula>
    </cfRule>
  </conditionalFormatting>
  <conditionalFormatting sqref="B36">
    <cfRule type="cellIs" rank="0" priority="125" equalAverage="0" operator="lessThan" aboveAverage="0" dxfId="0" text="" percent="0" bottom="0">
      <formula>$C$36</formula>
    </cfRule>
  </conditionalFormatting>
  <conditionalFormatting sqref="C35">
    <cfRule type="cellIs" rank="0" priority="126" equalAverage="0" operator="lessThan" aboveAverage="0" dxfId="0" text="" percent="0" bottom="0">
      <formula>$B$35</formula>
    </cfRule>
  </conditionalFormatting>
  <conditionalFormatting sqref="B35">
    <cfRule type="cellIs" rank="0" priority="127" equalAverage="0" operator="lessThan" aboveAverage="0" dxfId="0" text="" percent="0" bottom="0">
      <formula>$C$35</formula>
    </cfRule>
  </conditionalFormatting>
  <conditionalFormatting sqref="C34">
    <cfRule type="cellIs" rank="0" priority="128" equalAverage="0" operator="lessThan" aboveAverage="0" dxfId="0" text="" percent="0" bottom="0">
      <formula>$B$34</formula>
    </cfRule>
  </conditionalFormatting>
  <conditionalFormatting sqref="B34">
    <cfRule type="cellIs" rank="0" priority="129" equalAverage="0" operator="lessThan" aboveAverage="0" dxfId="0" text="" percent="0" bottom="0">
      <formula>$C$34</formula>
    </cfRule>
  </conditionalFormatting>
  <conditionalFormatting sqref="C33">
    <cfRule type="cellIs" rank="0" priority="130" equalAverage="0" operator="lessThan" aboveAverage="0" dxfId="0" text="" percent="0" bottom="0">
      <formula>$B$33</formula>
    </cfRule>
  </conditionalFormatting>
  <conditionalFormatting sqref="B33">
    <cfRule type="cellIs" rank="0" priority="131" equalAverage="0" operator="lessThan" aboveAverage="0" dxfId="0" text="" percent="0" bottom="0">
      <formula>$C$33</formula>
    </cfRule>
  </conditionalFormatting>
  <conditionalFormatting sqref="C32">
    <cfRule type="cellIs" rank="0" priority="132" equalAverage="0" operator="lessThan" aboveAverage="0" dxfId="0" text="" percent="0" bottom="0">
      <formula>$B$32</formula>
    </cfRule>
  </conditionalFormatting>
  <conditionalFormatting sqref="B32">
    <cfRule type="cellIs" rank="0" priority="133" equalAverage="0" operator="lessThan" aboveAverage="0" dxfId="0" text="" percent="0" bottom="0">
      <formula>$C$32</formula>
    </cfRule>
  </conditionalFormatting>
  <conditionalFormatting sqref="C31">
    <cfRule type="cellIs" rank="0" priority="134" equalAverage="0" operator="lessThan" aboveAverage="0" dxfId="0" text="" percent="0" bottom="0">
      <formula>$B$31</formula>
    </cfRule>
  </conditionalFormatting>
  <conditionalFormatting sqref="B31">
    <cfRule type="cellIs" rank="0" priority="135" equalAverage="0" operator="lessThan" aboveAverage="0" dxfId="0" text="" percent="0" bottom="0">
      <formula>$C$31</formula>
    </cfRule>
  </conditionalFormatting>
  <conditionalFormatting sqref="C30">
    <cfRule type="cellIs" rank="0" priority="136" equalAverage="0" operator="lessThan" aboveAverage="0" dxfId="0" text="" percent="0" bottom="0">
      <formula>$B$30</formula>
    </cfRule>
  </conditionalFormatting>
  <conditionalFormatting sqref="B30">
    <cfRule type="cellIs" rank="0" priority="137" equalAverage="0" operator="lessThan" aboveAverage="0" dxfId="0" text="" percent="0" bottom="0">
      <formula>$C$30</formula>
    </cfRule>
  </conditionalFormatting>
  <conditionalFormatting sqref="C29">
    <cfRule type="cellIs" rank="0" priority="138" equalAverage="0" operator="lessThan" aboveAverage="0" dxfId="0" text="" percent="0" bottom="0">
      <formula>$B$29</formula>
    </cfRule>
  </conditionalFormatting>
  <conditionalFormatting sqref="B29">
    <cfRule type="cellIs" rank="0" priority="139" equalAverage="0" operator="lessThan" aboveAverage="0" dxfId="0" text="" percent="0" bottom="0">
      <formula>$C$29</formula>
    </cfRule>
  </conditionalFormatting>
  <conditionalFormatting sqref="C28">
    <cfRule type="cellIs" rank="0" priority="140" equalAverage="0" operator="lessThan" aboveAverage="0" dxfId="0" text="" percent="0" bottom="0">
      <formula>$B$28</formula>
    </cfRule>
  </conditionalFormatting>
  <conditionalFormatting sqref="B28">
    <cfRule type="cellIs" rank="0" priority="141" equalAverage="0" operator="lessThan" aboveAverage="0" dxfId="0" text="" percent="0" bottom="0">
      <formula>$C$28</formula>
    </cfRule>
  </conditionalFormatting>
  <conditionalFormatting sqref="C27">
    <cfRule type="cellIs" rank="0" priority="142" equalAverage="0" operator="lessThan" aboveAverage="0" dxfId="0" text="" percent="0" bottom="0">
      <formula>$B$27</formula>
    </cfRule>
  </conditionalFormatting>
  <conditionalFormatting sqref="B27">
    <cfRule type="cellIs" rank="0" priority="143" equalAverage="0" operator="lessThan" aboveAverage="0" dxfId="0" text="" percent="0" bottom="0">
      <formula>$C$27</formula>
    </cfRule>
  </conditionalFormatting>
  <conditionalFormatting sqref="C26">
    <cfRule type="cellIs" rank="0" priority="144" equalAverage="0" operator="lessThan" aboveAverage="0" dxfId="0" text="" percent="0" bottom="0">
      <formula>$B$26</formula>
    </cfRule>
  </conditionalFormatting>
  <conditionalFormatting sqref="B26">
    <cfRule type="cellIs" rank="0" priority="145" equalAverage="0" operator="lessThan" aboveAverage="0" dxfId="0" text="" percent="0" bottom="0">
      <formula>$C$26</formula>
    </cfRule>
  </conditionalFormatting>
  <conditionalFormatting sqref="C25">
    <cfRule type="cellIs" rank="0" priority="146" equalAverage="0" operator="lessThan" aboveAverage="0" dxfId="0" text="" percent="0" bottom="0">
      <formula>$B$25</formula>
    </cfRule>
  </conditionalFormatting>
  <conditionalFormatting sqref="B25">
    <cfRule type="cellIs" rank="0" priority="147" equalAverage="0" operator="lessThan" aboveAverage="0" dxfId="0" text="" percent="0" bottom="0">
      <formula>$C$25</formula>
    </cfRule>
  </conditionalFormatting>
  <conditionalFormatting sqref="C24">
    <cfRule type="cellIs" rank="0" priority="148" equalAverage="0" operator="lessThan" aboveAverage="0" dxfId="0" text="" percent="0" bottom="0">
      <formula>$B$24</formula>
    </cfRule>
  </conditionalFormatting>
  <conditionalFormatting sqref="B24">
    <cfRule type="cellIs" rank="0" priority="149" equalAverage="0" operator="lessThan" aboveAverage="0" dxfId="0" text="" percent="0" bottom="0">
      <formula>$C$24</formula>
    </cfRule>
  </conditionalFormatting>
  <conditionalFormatting sqref="C23">
    <cfRule type="cellIs" rank="0" priority="150" equalAverage="0" operator="lessThan" aboveAverage="0" dxfId="0" text="" percent="0" bottom="0">
      <formula>$B$23</formula>
    </cfRule>
  </conditionalFormatting>
  <conditionalFormatting sqref="B23">
    <cfRule type="cellIs" rank="0" priority="151" equalAverage="0" operator="lessThan" aboveAverage="0" dxfId="0" text="" percent="0" bottom="0">
      <formula>$C$23</formula>
    </cfRule>
  </conditionalFormatting>
  <conditionalFormatting sqref="C22">
    <cfRule type="cellIs" rank="0" priority="152" equalAverage="0" operator="lessThan" aboveAverage="0" dxfId="0" text="" percent="0" bottom="0">
      <formula>$B$22</formula>
    </cfRule>
  </conditionalFormatting>
  <conditionalFormatting sqref="B22">
    <cfRule type="cellIs" rank="0" priority="153" equalAverage="0" operator="lessThan" aboveAverage="0" dxfId="0" text="" percent="0" bottom="0">
      <formula>$C$22</formula>
    </cfRule>
  </conditionalFormatting>
  <conditionalFormatting sqref="C21">
    <cfRule type="cellIs" rank="0" priority="154" equalAverage="0" operator="lessThan" aboveAverage="0" dxfId="0" text="" percent="0" bottom="0">
      <formula>$B$21</formula>
    </cfRule>
  </conditionalFormatting>
  <conditionalFormatting sqref="B21">
    <cfRule type="cellIs" rank="0" priority="155" equalAverage="0" operator="lessThan" aboveAverage="0" dxfId="0" text="" percent="0" bottom="0">
      <formula>$C$21</formula>
    </cfRule>
  </conditionalFormatting>
  <conditionalFormatting sqref="C20">
    <cfRule type="cellIs" rank="0" priority="156" equalAverage="0" operator="lessThan" aboveAverage="0" dxfId="0" text="" percent="0" bottom="0">
      <formula>$B$20</formula>
    </cfRule>
  </conditionalFormatting>
  <conditionalFormatting sqref="B20">
    <cfRule type="cellIs" rank="0" priority="157" equalAverage="0" operator="lessThan" aboveAverage="0" dxfId="0" text="" percent="0" bottom="0">
      <formula>$C$20</formula>
    </cfRule>
  </conditionalFormatting>
  <conditionalFormatting sqref="B19">
    <cfRule type="cellIs" rank="0" priority="158" equalAverage="0" operator="lessThan" aboveAverage="0" dxfId="0" text="" percent="0" bottom="0">
      <formula>$C$19</formula>
    </cfRule>
  </conditionalFormatting>
  <conditionalFormatting sqref="C19">
    <cfRule type="cellIs" rank="0" priority="159" equalAverage="0" operator="lessThan" aboveAverage="0" dxfId="0" text="" percent="0" bottom="0">
      <formula>$B$19</formula>
    </cfRule>
  </conditionalFormatting>
  <conditionalFormatting sqref="C18">
    <cfRule type="cellIs" rank="0" priority="160" equalAverage="0" operator="lessThan" aboveAverage="0" dxfId="0" text="" percent="0" bottom="0">
      <formula>$B$18</formula>
    </cfRule>
  </conditionalFormatting>
  <conditionalFormatting sqref="B18">
    <cfRule type="cellIs" rank="0" priority="161" equalAverage="0" operator="lessThan" aboveAverage="0" dxfId="0" text="" percent="0" bottom="0">
      <formula>$C$18</formula>
    </cfRule>
  </conditionalFormatting>
  <conditionalFormatting sqref="C17">
    <cfRule type="cellIs" rank="0" priority="162" equalAverage="0" operator="lessThan" aboveAverage="0" dxfId="0" text="" percent="0" bottom="0">
      <formula>$B$17</formula>
    </cfRule>
  </conditionalFormatting>
  <conditionalFormatting sqref="B17">
    <cfRule type="cellIs" rank="0" priority="163" equalAverage="0" operator="lessThan" aboveAverage="0" dxfId="0" text="" percent="0" bottom="0">
      <formula>$C$17</formula>
    </cfRule>
  </conditionalFormatting>
  <conditionalFormatting sqref="C16">
    <cfRule type="cellIs" rank="0" priority="164" equalAverage="0" operator="lessThan" aboveAverage="0" dxfId="0" text="" percent="0" bottom="0">
      <formula>$B$16</formula>
    </cfRule>
  </conditionalFormatting>
  <conditionalFormatting sqref="B16">
    <cfRule type="cellIs" rank="0" priority="165" equalAverage="0" operator="lessThan" aboveAverage="0" dxfId="0" text="" percent="0" bottom="0">
      <formula>$C$16</formula>
    </cfRule>
  </conditionalFormatting>
  <conditionalFormatting sqref="C15">
    <cfRule type="cellIs" rank="0" priority="166" equalAverage="0" operator="lessThan" aboveAverage="0" dxfId="0" text="" percent="0" bottom="0">
      <formula>$B$15</formula>
    </cfRule>
  </conditionalFormatting>
  <conditionalFormatting sqref="B15">
    <cfRule type="cellIs" rank="0" priority="167" equalAverage="0" operator="lessThan" aboveAverage="0" dxfId="0" text="" percent="0" bottom="0">
      <formula>$C$15</formula>
    </cfRule>
  </conditionalFormatting>
  <conditionalFormatting sqref="C14">
    <cfRule type="cellIs" rank="0" priority="168" equalAverage="0" operator="lessThan" aboveAverage="0" dxfId="0" text="" percent="0" bottom="0">
      <formula>$B$14</formula>
    </cfRule>
  </conditionalFormatting>
  <conditionalFormatting sqref="B14">
    <cfRule type="cellIs" rank="0" priority="169" equalAverage="0" operator="lessThan" aboveAverage="0" dxfId="0" text="" percent="0" bottom="0">
      <formula>$C$14</formula>
    </cfRule>
  </conditionalFormatting>
  <conditionalFormatting sqref="C13">
    <cfRule type="cellIs" rank="0" priority="170" equalAverage="0" operator="lessThan" aboveAverage="0" dxfId="0" text="" percent="0" bottom="0">
      <formula>$B$13</formula>
    </cfRule>
  </conditionalFormatting>
  <conditionalFormatting sqref="B13">
    <cfRule type="cellIs" rank="0" priority="171" equalAverage="0" operator="lessThan" aboveAverage="0" dxfId="0" text="" percent="0" bottom="0">
      <formula>$C$13</formula>
    </cfRule>
  </conditionalFormatting>
  <conditionalFormatting sqref="C12">
    <cfRule type="cellIs" rank="0" priority="172" equalAverage="0" operator="lessThan" aboveAverage="0" dxfId="0" text="" percent="0" bottom="0">
      <formula>$B$12</formula>
    </cfRule>
  </conditionalFormatting>
  <conditionalFormatting sqref="B12">
    <cfRule type="cellIs" rank="0" priority="173" equalAverage="0" operator="lessThan" aboveAverage="0" dxfId="0" text="" percent="0" bottom="0">
      <formula>$C$12</formula>
    </cfRule>
  </conditionalFormatting>
  <conditionalFormatting sqref="C11">
    <cfRule type="cellIs" rank="0" priority="174" equalAverage="0" operator="lessThan" aboveAverage="0" dxfId="0" text="" percent="0" bottom="0">
      <formula>$B$11</formula>
    </cfRule>
  </conditionalFormatting>
  <conditionalFormatting sqref="B11">
    <cfRule type="cellIs" rank="0" priority="175" equalAverage="0" operator="lessThan" aboveAverage="0" dxfId="0" text="" percent="0" bottom="0">
      <formula>$C$11</formula>
    </cfRule>
  </conditionalFormatting>
  <conditionalFormatting sqref="C10">
    <cfRule type="cellIs" rank="0" priority="176" equalAverage="0" operator="lessThan" aboveAverage="0" dxfId="0" text="" percent="0" bottom="0">
      <formula>$B$10</formula>
    </cfRule>
  </conditionalFormatting>
  <conditionalFormatting sqref="B10">
    <cfRule type="cellIs" rank="0" priority="177" equalAverage="0" operator="lessThan" aboveAverage="0" dxfId="0" text="" percent="0" bottom="0">
      <formula>$C$10</formula>
    </cfRule>
  </conditionalFormatting>
  <conditionalFormatting sqref="C9">
    <cfRule type="cellIs" rank="0" priority="178" equalAverage="0" operator="lessThan" aboveAverage="0" dxfId="0" text="" percent="0" bottom="0">
      <formula>$B$9</formula>
    </cfRule>
  </conditionalFormatting>
  <conditionalFormatting sqref="B9">
    <cfRule type="cellIs" rank="0" priority="179" equalAverage="0" operator="lessThan" aboveAverage="0" dxfId="0" text="" percent="0" bottom="0">
      <formula>$C$9</formula>
    </cfRule>
  </conditionalFormatting>
  <conditionalFormatting sqref="C8">
    <cfRule type="cellIs" rank="0" priority="180" equalAverage="0" operator="lessThan" aboveAverage="0" dxfId="0" text="" percent="0" bottom="0">
      <formula>$B$8</formula>
    </cfRule>
  </conditionalFormatting>
  <conditionalFormatting sqref="B8">
    <cfRule type="cellIs" rank="0" priority="181" equalAverage="0" operator="lessThan" aboveAverage="0" dxfId="0" text="" percent="0" bottom="0">
      <formula>$C$8</formula>
    </cfRule>
  </conditionalFormatting>
  <conditionalFormatting sqref="C7">
    <cfRule type="cellIs" rank="0" priority="182" equalAverage="0" operator="lessThan" aboveAverage="0" dxfId="0" text="" percent="0" bottom="0">
      <formula>$B$7</formula>
    </cfRule>
  </conditionalFormatting>
  <conditionalFormatting sqref="B7">
    <cfRule type="cellIs" rank="0" priority="183" equalAverage="0" operator="lessThan" aboveAverage="0" dxfId="0" text="" percent="0" bottom="0">
      <formula>$C$7</formula>
    </cfRule>
  </conditionalFormatting>
  <conditionalFormatting sqref="C6">
    <cfRule type="cellIs" rank="0" priority="184" equalAverage="0" operator="lessThan" aboveAverage="0" dxfId="0" text="" percent="0" bottom="0">
      <formula>$B$6</formula>
    </cfRule>
  </conditionalFormatting>
  <conditionalFormatting sqref="B6">
    <cfRule type="cellIs" rank="0" priority="185" equalAverage="0" operator="lessThan" aboveAverage="0" dxfId="0" text="" percent="0" bottom="0">
      <formula>$C$6</formula>
    </cfRule>
  </conditionalFormatting>
  <conditionalFormatting sqref="C5">
    <cfRule type="cellIs" rank="0" priority="186" equalAverage="0" operator="lessThan" aboveAverage="0" dxfId="0" text="" percent="0" bottom="0">
      <formula>$B$5</formula>
    </cfRule>
  </conditionalFormatting>
  <conditionalFormatting sqref="B5">
    <cfRule type="cellIs" rank="0" priority="187" equalAverage="0" operator="lessThan" aboveAverage="0" dxfId="0" text="" percent="0" bottom="0">
      <formula>$C$5</formula>
    </cfRule>
  </conditionalFormatting>
  <conditionalFormatting sqref="C4">
    <cfRule type="cellIs" rank="0" priority="188" equalAverage="0" operator="lessThan" aboveAverage="0" dxfId="0" text="" percent="0" bottom="0">
      <formula>$B$4</formula>
    </cfRule>
  </conditionalFormatting>
  <conditionalFormatting sqref="B4">
    <cfRule type="cellIs" rank="0" priority="189" equalAverage="0" operator="lessThan" aboveAverage="0" dxfId="0" text="" percent="0" bottom="0">
      <formula>$C$4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51"/>
  <sheetViews>
    <sheetView workbookViewId="0">
      <selection activeCell="A1" sqref="A1"/>
    </sheetView>
  </sheetViews>
  <sheetFormatPr baseColWidth="8" defaultColWidth="10.6796875" defaultRowHeight="15" customHeight="0" zeroHeight="0" outlineLevelRow="0"/>
  <sheetData>
    <row r="1" ht="15" customHeight="1" s="6">
      <c r="A1" s="7" t="n"/>
      <c r="B1" s="8">
        <f>AVERAGE(B4:B38)</f>
        <v/>
      </c>
      <c r="C1" s="8">
        <f>AVERAGE(C4:C30)</f>
        <v/>
      </c>
      <c r="D1" s="8">
        <f>AVERAGE(D4:D60)</f>
        <v/>
      </c>
      <c r="E1" s="8">
        <f>AVERAGE(E4:E60)</f>
        <v/>
      </c>
      <c r="F1" s="7">
        <f>SUM(F4:F50)</f>
        <v/>
      </c>
      <c r="G1" s="7">
        <f>D1-E1</f>
        <v/>
      </c>
    </row>
    <row r="2" ht="15" customHeight="1" s="6">
      <c r="A2" s="9" t="inlineStr">
        <is>
          <t>Produit</t>
        </is>
      </c>
      <c r="B2" s="9" t="inlineStr">
        <is>
          <t>PA base</t>
        </is>
      </c>
      <c r="C2" s="9" t="inlineStr">
        <is>
          <t>PA direct</t>
        </is>
      </c>
      <c r="D2" s="9" t="inlineStr">
        <is>
          <t>PV préco base</t>
        </is>
      </c>
      <c r="E2" s="9" t="inlineStr">
        <is>
          <t>PV magasin</t>
        </is>
      </c>
      <c r="F2" s="9" t="inlineStr">
        <is>
          <t>Quantité</t>
        </is>
      </c>
      <c r="G2" s="10" t="inlineStr">
        <is>
          <t>Marge servi base</t>
        </is>
      </c>
      <c r="H2" s="10" t="inlineStr">
        <is>
          <t>Marge servi direct</t>
        </is>
      </c>
      <c r="I2" s="11" t="inlineStr">
        <is>
          <t>Marge servi Direct</t>
        </is>
      </c>
      <c r="J2" s="11" t="n"/>
      <c r="K2" s="11" t="n"/>
      <c r="L2" s="11" t="n"/>
      <c r="M2" s="11" t="n"/>
      <c r="N2" s="11" t="inlineStr">
        <is>
          <t>Marge servi base</t>
        </is>
      </c>
      <c r="O2" s="11" t="n"/>
      <c r="P2" s="11" t="n"/>
      <c r="Q2" s="11" t="n"/>
      <c r="R2" s="11" t="n"/>
    </row>
    <row r="3" ht="15" customHeight="1" s="6">
      <c r="G3" s="8">
        <f>Q3/R3</f>
        <v/>
      </c>
      <c r="H3" s="8">
        <f>L3/M3</f>
        <v/>
      </c>
      <c r="I3" s="11">
        <f>SUM(I4:I50)</f>
        <v/>
      </c>
      <c r="J3" s="11">
        <f>SUM(J4:J50)</f>
        <v/>
      </c>
      <c r="K3" s="11">
        <f>SUM(K4:K50)</f>
        <v/>
      </c>
      <c r="L3" s="11">
        <f>SUM(L4:L50)</f>
        <v/>
      </c>
      <c r="M3" s="11">
        <f>SUM(M4:M50)</f>
        <v/>
      </c>
      <c r="N3" s="11">
        <f>SUM(N4:N50)</f>
        <v/>
      </c>
      <c r="O3" s="11">
        <f>SUM(O4:O50)</f>
        <v/>
      </c>
      <c r="P3" s="11">
        <f>SUM(P4:P50)</f>
        <v/>
      </c>
      <c r="Q3" s="11">
        <f>SUM(Q4:Q50)</f>
        <v/>
      </c>
      <c r="R3" s="11">
        <f>SUM(R4:R50)</f>
        <v/>
      </c>
    </row>
    <row r="4" ht="15" customHeight="1" s="6">
      <c r="A4" s="9" t="inlineStr">
        <is>
          <t>Echalote td 1/2 lg 30/50 5K c1 FR</t>
        </is>
      </c>
      <c r="C4" s="9" t="n">
        <v>1.6</v>
      </c>
      <c r="E4" s="9" t="n">
        <v>4.99</v>
      </c>
      <c r="F4" s="9" t="n">
        <v>5</v>
      </c>
      <c r="G4" s="7">
        <f>Q4/R4</f>
        <v/>
      </c>
      <c r="H4" s="7">
        <f>L4/M4</f>
        <v/>
      </c>
      <c r="I4" s="9">
        <f>E4/1.055</f>
        <v/>
      </c>
      <c r="J4" s="9">
        <f>I4-C4</f>
        <v/>
      </c>
      <c r="K4" s="9">
        <f>J4*F4</f>
        <v/>
      </c>
      <c r="L4" s="9">
        <f>K4*100</f>
        <v/>
      </c>
      <c r="M4" s="9">
        <f>E4*F4</f>
        <v/>
      </c>
      <c r="N4" s="9">
        <f>D4/1.055</f>
        <v/>
      </c>
      <c r="O4" s="9">
        <f>N4-B4</f>
        <v/>
      </c>
      <c r="P4" s="9">
        <f>O4*F4</f>
        <v/>
      </c>
      <c r="Q4" s="9">
        <f>P4*100</f>
        <v/>
      </c>
      <c r="R4" s="9">
        <f>D4*F4</f>
        <v/>
      </c>
    </row>
    <row r="5" ht="15" customHeight="1" s="6">
      <c r="A5" s="9" t="inlineStr">
        <is>
          <t>Oignon rge 60/80 5K c1 FR</t>
        </is>
      </c>
      <c r="C5" s="9" t="n">
        <v>1.39</v>
      </c>
      <c r="E5" s="9" t="n">
        <v>4.99</v>
      </c>
      <c r="F5" s="9" t="n">
        <v>5</v>
      </c>
      <c r="G5" s="7">
        <f>Q5/R5</f>
        <v/>
      </c>
      <c r="H5" s="7">
        <f>L5/M5</f>
        <v/>
      </c>
      <c r="I5" s="9">
        <f>E5/1.055</f>
        <v/>
      </c>
      <c r="J5" s="9">
        <f>I5-C5</f>
        <v/>
      </c>
      <c r="K5" s="9">
        <f>J5*F5</f>
        <v/>
      </c>
      <c r="L5" s="9">
        <f>K5*100</f>
        <v/>
      </c>
      <c r="M5" s="9">
        <f>E5*F5</f>
        <v/>
      </c>
      <c r="N5" s="9">
        <f>D5/1.055</f>
        <v/>
      </c>
      <c r="O5" s="9">
        <f>N5-B5</f>
        <v/>
      </c>
      <c r="P5" s="9">
        <f>O5*F5</f>
        <v/>
      </c>
      <c r="Q5" s="9">
        <f>P5*100</f>
        <v/>
      </c>
      <c r="R5" s="9">
        <f>D5*F5</f>
        <v/>
      </c>
    </row>
    <row r="6" ht="15" customHeight="1" s="6">
      <c r="A6" s="9" t="inlineStr">
        <is>
          <t>Poivron rouge 80/100 5K c1 MA</t>
        </is>
      </c>
      <c r="C6" s="9" t="n">
        <v>2.7</v>
      </c>
      <c r="E6" s="9" t="n">
        <v>4.99</v>
      </c>
      <c r="F6" s="9" t="n">
        <v>20</v>
      </c>
      <c r="G6" s="7">
        <f>Q6/R6</f>
        <v/>
      </c>
      <c r="H6" s="7">
        <f>L6/M6</f>
        <v/>
      </c>
      <c r="I6" s="9">
        <f>E6/1.055</f>
        <v/>
      </c>
      <c r="J6" s="9">
        <f>I6-C6</f>
        <v/>
      </c>
      <c r="K6" s="9">
        <f>J6*F6</f>
        <v/>
      </c>
      <c r="L6" s="9">
        <f>K6*100</f>
        <v/>
      </c>
      <c r="M6" s="9">
        <f>E6*F6</f>
        <v/>
      </c>
      <c r="N6" s="9">
        <f>D6/1.055</f>
        <v/>
      </c>
      <c r="O6" s="9">
        <f>N6-B6</f>
        <v/>
      </c>
      <c r="P6" s="9">
        <f>O6*F6</f>
        <v/>
      </c>
      <c r="Q6" s="9">
        <f>P6*100</f>
        <v/>
      </c>
      <c r="R6" s="9">
        <f>D6*F6</f>
        <v/>
      </c>
    </row>
    <row r="7" ht="15" customHeight="1" s="6">
      <c r="A7" s="9" t="inlineStr">
        <is>
          <t>Poivron jaune 80/100 5K c1 MA</t>
        </is>
      </c>
      <c r="C7" s="9" t="n">
        <v>3.19</v>
      </c>
      <c r="E7" s="9" t="n">
        <v>4.99</v>
      </c>
      <c r="F7" s="9" t="n">
        <v>10</v>
      </c>
      <c r="G7" s="7">
        <f>Q7/R7</f>
        <v/>
      </c>
      <c r="H7" s="7">
        <f>L7/M7</f>
        <v/>
      </c>
      <c r="I7" s="9">
        <f>E7/1.055</f>
        <v/>
      </c>
      <c r="J7" s="9">
        <f>I7-C7</f>
        <v/>
      </c>
      <c r="K7" s="9">
        <f>J7*F7</f>
        <v/>
      </c>
      <c r="L7" s="9">
        <f>K7*100</f>
        <v/>
      </c>
      <c r="M7" s="9">
        <f>E7*F7</f>
        <v/>
      </c>
      <c r="N7" s="9">
        <f>D7/1.055</f>
        <v/>
      </c>
      <c r="O7" s="9">
        <f>N7-B7</f>
        <v/>
      </c>
      <c r="P7" s="9">
        <f>O7*F7</f>
        <v/>
      </c>
      <c r="Q7" s="9">
        <f>P7*100</f>
        <v/>
      </c>
      <c r="R7" s="9">
        <f>D7*F7</f>
        <v/>
      </c>
    </row>
    <row r="8" ht="15" customHeight="1" s="6">
      <c r="A8" s="9" t="inlineStr">
        <is>
          <t>HF persil plat botte 100gX20 ES</t>
        </is>
      </c>
      <c r="C8" s="9" t="n">
        <v>0.8</v>
      </c>
      <c r="E8" s="9" t="n">
        <v>1.59</v>
      </c>
      <c r="F8" s="9" t="n">
        <v>40</v>
      </c>
      <c r="G8" s="7">
        <f>Q8/R8</f>
        <v/>
      </c>
      <c r="H8" s="7">
        <f>L8/M8</f>
        <v/>
      </c>
      <c r="I8" s="9">
        <f>E8/1.055</f>
        <v/>
      </c>
      <c r="J8" s="9">
        <f>I8-C8</f>
        <v/>
      </c>
      <c r="K8" s="9">
        <f>J8*F8</f>
        <v/>
      </c>
      <c r="L8" s="9">
        <f>K8*100</f>
        <v/>
      </c>
      <c r="M8" s="9">
        <f>E8*F8</f>
        <v/>
      </c>
      <c r="N8" s="9">
        <f>D8/1.055</f>
        <v/>
      </c>
      <c r="O8" s="9">
        <f>N8-B8</f>
        <v/>
      </c>
      <c r="P8" s="9">
        <f>O8*F8</f>
        <v/>
      </c>
      <c r="Q8" s="9">
        <f>P8*100</f>
        <v/>
      </c>
      <c r="R8" s="9">
        <f>D8*F8</f>
        <v/>
      </c>
    </row>
    <row r="9" ht="15" customHeight="1" s="6">
      <c r="A9" s="9" t="inlineStr">
        <is>
          <t>Sal feuille chene bld 12P c1 FR</t>
        </is>
      </c>
      <c r="C9" s="9" t="n">
        <v>1.4</v>
      </c>
      <c r="E9" s="9" t="n">
        <v>1.99</v>
      </c>
      <c r="F9" s="9" t="n">
        <v>72</v>
      </c>
      <c r="G9" s="7">
        <f>Q9/R9</f>
        <v/>
      </c>
      <c r="H9" s="7">
        <f>L9/M9</f>
        <v/>
      </c>
      <c r="I9" s="9">
        <f>E9/1.055</f>
        <v/>
      </c>
      <c r="J9" s="9">
        <f>I9-C9</f>
        <v/>
      </c>
      <c r="K9" s="9">
        <f>J9*F9</f>
        <v/>
      </c>
      <c r="L9" s="9">
        <f>K9*100</f>
        <v/>
      </c>
      <c r="M9" s="9">
        <f>E9*F9</f>
        <v/>
      </c>
      <c r="N9" s="9">
        <f>D9/1.055</f>
        <v/>
      </c>
      <c r="O9" s="9">
        <f>N9-B9</f>
        <v/>
      </c>
      <c r="P9" s="9">
        <f>O9*F9</f>
        <v/>
      </c>
      <c r="Q9" s="9">
        <f>P9*100</f>
        <v/>
      </c>
      <c r="R9" s="9">
        <f>D9*F9</f>
        <v/>
      </c>
    </row>
    <row r="10" ht="15" customHeight="1" s="6">
      <c r="A10" s="9" t="inlineStr">
        <is>
          <t>Avocat hass 184/217g pad 20F c1 PE</t>
        </is>
      </c>
      <c r="C10" s="9" t="n">
        <v>0.55</v>
      </c>
      <c r="E10" s="9" t="n">
        <v>1.29</v>
      </c>
      <c r="F10" s="9" t="n">
        <v>200</v>
      </c>
      <c r="G10" s="7">
        <f>Q10/R10</f>
        <v/>
      </c>
      <c r="H10" s="7">
        <f>L10/M10</f>
        <v/>
      </c>
      <c r="I10" s="9">
        <f>E10/1.055</f>
        <v/>
      </c>
      <c r="J10" s="9">
        <f>I10-C10</f>
        <v/>
      </c>
      <c r="K10" s="9">
        <f>J10*F10</f>
        <v/>
      </c>
      <c r="L10" s="9">
        <f>K10*100</f>
        <v/>
      </c>
      <c r="M10" s="9">
        <f>E10*F10</f>
        <v/>
      </c>
      <c r="N10" s="9">
        <f>D10/1.055</f>
        <v/>
      </c>
      <c r="O10" s="9">
        <f>N10-B10</f>
        <v/>
      </c>
      <c r="P10" s="9">
        <f>O10*F10</f>
        <v/>
      </c>
      <c r="Q10" s="9">
        <f>P10*100</f>
        <v/>
      </c>
      <c r="R10" s="9">
        <f>D10*F10</f>
        <v/>
      </c>
    </row>
    <row r="11" ht="15" customHeight="1" s="6">
      <c r="A11" s="9" t="inlineStr">
        <is>
          <t>Peche plate bl A 67/73mm ~5K c1 ES</t>
        </is>
      </c>
      <c r="C11" s="9" t="n">
        <v>1.89</v>
      </c>
      <c r="E11" s="9" t="n">
        <v>2.99</v>
      </c>
      <c r="F11" s="9" t="n">
        <v>20</v>
      </c>
      <c r="G11" s="7">
        <f>Q11/R11</f>
        <v/>
      </c>
      <c r="H11" s="7">
        <f>L11/M11</f>
        <v/>
      </c>
      <c r="I11" s="9">
        <f>E11/1.055</f>
        <v/>
      </c>
      <c r="J11" s="9">
        <f>I11-C11</f>
        <v/>
      </c>
      <c r="K11" s="9">
        <f>J11*F11</f>
        <v/>
      </c>
      <c r="L11" s="9">
        <f>K11*100</f>
        <v/>
      </c>
      <c r="M11" s="9">
        <f>E11*F11</f>
        <v/>
      </c>
      <c r="N11" s="9">
        <f>D11/1.055</f>
        <v/>
      </c>
      <c r="O11" s="9">
        <f>N11-B11</f>
        <v/>
      </c>
      <c r="P11" s="9">
        <f>O11*F11</f>
        <v/>
      </c>
      <c r="Q11" s="9">
        <f>P11*100</f>
        <v/>
      </c>
      <c r="R11" s="9">
        <f>D11*F11</f>
        <v/>
      </c>
    </row>
    <row r="12" ht="15" customHeight="1" s="6">
      <c r="A12" s="9" t="inlineStr">
        <is>
          <t>Aubergine 300/500 5K c1 SLC</t>
        </is>
      </c>
      <c r="C12" s="9" t="n">
        <v>2.65</v>
      </c>
      <c r="E12" s="9" t="n">
        <v>3.99</v>
      </c>
      <c r="F12" s="9" t="n">
        <v>10</v>
      </c>
      <c r="G12" s="7">
        <f>Q12/R12</f>
        <v/>
      </c>
      <c r="H12" s="7">
        <f>L12/M12</f>
        <v/>
      </c>
      <c r="I12" s="9">
        <f>E12/1.055</f>
        <v/>
      </c>
      <c r="J12" s="9">
        <f>I12-C12</f>
        <v/>
      </c>
      <c r="K12" s="9">
        <f>J12*F12</f>
        <v/>
      </c>
      <c r="L12" s="9">
        <f>K12*100</f>
        <v/>
      </c>
      <c r="M12" s="9">
        <f>E12*F12</f>
        <v/>
      </c>
      <c r="N12" s="9">
        <f>D12/1.055</f>
        <v/>
      </c>
      <c r="O12" s="9">
        <f>N12-B12</f>
        <v/>
      </c>
      <c r="P12" s="9">
        <f>O12*F12</f>
        <v/>
      </c>
      <c r="Q12" s="9">
        <f>P12*100</f>
        <v/>
      </c>
      <c r="R12" s="9">
        <f>D12*F12</f>
        <v/>
      </c>
    </row>
    <row r="13" ht="15" customHeight="1" s="6">
      <c r="A13" s="9" t="inlineStr">
        <is>
          <t>Sal feuille chene rg 12P c1 SLC</t>
        </is>
      </c>
      <c r="C13" s="9" t="n">
        <v>1.4</v>
      </c>
      <c r="E13" s="9" t="n">
        <v>1.69</v>
      </c>
      <c r="F13" s="9" t="n">
        <v>60</v>
      </c>
      <c r="G13" s="7">
        <f>Q13/R13</f>
        <v/>
      </c>
      <c r="H13" s="7">
        <f>L13/M13</f>
        <v/>
      </c>
      <c r="I13" s="9">
        <f>E13/1.055</f>
        <v/>
      </c>
      <c r="J13" s="9">
        <f>I13-C13</f>
        <v/>
      </c>
      <c r="K13" s="9">
        <f>J13*F13</f>
        <v/>
      </c>
      <c r="L13" s="9">
        <f>K13*100</f>
        <v/>
      </c>
      <c r="M13" s="9">
        <f>E13*F13</f>
        <v/>
      </c>
      <c r="N13" s="9">
        <f>D13/1.055</f>
        <v/>
      </c>
      <c r="O13" s="9">
        <f>N13-B13</f>
        <v/>
      </c>
      <c r="P13" s="9">
        <f>O13*F13</f>
        <v/>
      </c>
      <c r="Q13" s="9">
        <f>P13*100</f>
        <v/>
      </c>
      <c r="R13" s="9">
        <f>D13*F13</f>
        <v/>
      </c>
    </row>
    <row r="14" ht="15" customHeight="1" s="6">
      <c r="A14" s="9" t="inlineStr">
        <is>
          <t>Peche jne 3A 80/90mm ~4K 18F c1 FR</t>
        </is>
      </c>
      <c r="C14" s="9" t="n">
        <v>2.49</v>
      </c>
      <c r="E14" s="9" t="n">
        <v>4.49</v>
      </c>
      <c r="F14" s="9" t="n">
        <v>18.024</v>
      </c>
      <c r="G14" s="7">
        <f>Q14/R14</f>
        <v/>
      </c>
      <c r="H14" s="7">
        <f>L14/M14</f>
        <v/>
      </c>
      <c r="I14" s="9">
        <f>E14/1.055</f>
        <v/>
      </c>
      <c r="J14" s="9">
        <f>I14-C14</f>
        <v/>
      </c>
      <c r="K14" s="9">
        <f>J14*F14</f>
        <v/>
      </c>
      <c r="L14" s="9">
        <f>K14*100</f>
        <v/>
      </c>
      <c r="M14" s="9">
        <f>E14*F14</f>
        <v/>
      </c>
      <c r="N14" s="9">
        <f>D14/1.055</f>
        <v/>
      </c>
      <c r="O14" s="9">
        <f>N14-B14</f>
        <v/>
      </c>
      <c r="P14" s="9">
        <f>O14*F14</f>
        <v/>
      </c>
      <c r="Q14" s="9">
        <f>P14*100</f>
        <v/>
      </c>
      <c r="R14" s="9">
        <f>D14*F14</f>
        <v/>
      </c>
    </row>
    <row r="15" ht="15" customHeight="1" s="6">
      <c r="A15" s="9" t="inlineStr">
        <is>
          <t>Pom pinklady 170/200 1r60X40 ~8K c1 CL</t>
        </is>
      </c>
      <c r="C15" s="9" t="n">
        <v>2.75</v>
      </c>
      <c r="E15" s="9" t="n">
        <v>3.99</v>
      </c>
      <c r="F15" s="9" t="n">
        <v>20.175</v>
      </c>
      <c r="G15" s="7">
        <f>Q15/R15</f>
        <v/>
      </c>
      <c r="H15" s="7">
        <f>L15/M15</f>
        <v/>
      </c>
      <c r="I15" s="9">
        <f>E15/1.055</f>
        <v/>
      </c>
      <c r="J15" s="9">
        <f>I15-C15</f>
        <v/>
      </c>
      <c r="K15" s="9">
        <f>J15*F15</f>
        <v/>
      </c>
      <c r="L15" s="9">
        <f>K15*100</f>
        <v/>
      </c>
      <c r="M15" s="9">
        <f>E15*F15</f>
        <v/>
      </c>
      <c r="N15" s="9">
        <f>D15/1.055</f>
        <v/>
      </c>
      <c r="O15" s="9">
        <f>N15-B15</f>
        <v/>
      </c>
      <c r="P15" s="9">
        <f>O15*F15</f>
        <v/>
      </c>
      <c r="Q15" s="9">
        <f>P15*100</f>
        <v/>
      </c>
      <c r="R15" s="9">
        <f>D15*F15</f>
        <v/>
      </c>
    </row>
    <row r="16" ht="15" customHeight="1" s="6">
      <c r="A16" s="9" t="inlineStr">
        <is>
          <t>Poivron vert 80/100 plt 5K c1 SLC</t>
        </is>
      </c>
      <c r="C16" s="9" t="n">
        <v>2.6</v>
      </c>
      <c r="E16" s="9" t="n">
        <v>4.99</v>
      </c>
      <c r="F16" s="9" t="n">
        <v>5</v>
      </c>
      <c r="G16" s="7">
        <f>Q16/R16</f>
        <v/>
      </c>
      <c r="H16" s="7">
        <f>L16/M16</f>
        <v/>
      </c>
      <c r="I16" s="9">
        <f>E16/1.055</f>
        <v/>
      </c>
      <c r="J16" s="9">
        <f>I16-C16</f>
        <v/>
      </c>
      <c r="K16" s="9">
        <f>J16*F16</f>
        <v/>
      </c>
      <c r="L16" s="9">
        <f>K16*100</f>
        <v/>
      </c>
      <c r="M16" s="9">
        <f>E16*F16</f>
        <v/>
      </c>
      <c r="N16" s="9">
        <f>D16/1.055</f>
        <v/>
      </c>
      <c r="O16" s="9">
        <f>N16-B16</f>
        <v/>
      </c>
      <c r="P16" s="9">
        <f>O16*F16</f>
        <v/>
      </c>
      <c r="Q16" s="9">
        <f>P16*100</f>
        <v/>
      </c>
      <c r="R16" s="9">
        <f>D16*F16</f>
        <v/>
      </c>
    </row>
    <row r="17" ht="15" customHeight="1" s="6">
      <c r="A17" s="9" t="inlineStr">
        <is>
          <t>Peche bl A 67/73mm CE2 ~7K B&amp;E c1SLC</t>
        </is>
      </c>
      <c r="C17" s="9" t="n">
        <v>2.49</v>
      </c>
      <c r="E17" s="9" t="n">
        <v>4.29</v>
      </c>
      <c r="F17" s="9" t="n">
        <v>26.6</v>
      </c>
      <c r="G17" s="7">
        <f>Q17/R17</f>
        <v/>
      </c>
      <c r="H17" s="7">
        <f>L17/M17</f>
        <v/>
      </c>
      <c r="I17" s="9">
        <f>E17/1.055</f>
        <v/>
      </c>
      <c r="J17" s="9">
        <f>I17-C17</f>
        <v/>
      </c>
      <c r="K17" s="9">
        <f>J17*F17</f>
        <v/>
      </c>
      <c r="L17" s="9">
        <f>K17*100</f>
        <v/>
      </c>
      <c r="M17" s="9">
        <f>E17*F17</f>
        <v/>
      </c>
      <c r="N17" s="9">
        <f>D17/1.055</f>
        <v/>
      </c>
      <c r="O17" s="9">
        <f>N17-B17</f>
        <v/>
      </c>
      <c r="P17" s="9">
        <f>O17*F17</f>
        <v/>
      </c>
      <c r="Q17" s="9">
        <f>P17*100</f>
        <v/>
      </c>
      <c r="R17" s="9">
        <f>D17*F17</f>
        <v/>
      </c>
    </row>
    <row r="18" ht="15" customHeight="1" s="6">
      <c r="A18" s="9" t="inlineStr">
        <is>
          <t>Sal batavia blonde 12P c1 SLC1</t>
        </is>
      </c>
      <c r="C18" s="9" t="n">
        <v>1.4</v>
      </c>
      <c r="E18" s="9" t="n">
        <v>1.99</v>
      </c>
      <c r="F18" s="9" t="n">
        <v>72</v>
      </c>
      <c r="G18" s="7">
        <f>Q18/R18</f>
        <v/>
      </c>
      <c r="H18" s="7">
        <f>L18/M18</f>
        <v/>
      </c>
      <c r="I18" s="9">
        <f>E18/1.055</f>
        <v/>
      </c>
      <c r="J18" s="9">
        <f>I18-C18</f>
        <v/>
      </c>
      <c r="K18" s="9">
        <f>J18*F18</f>
        <v/>
      </c>
      <c r="L18" s="9">
        <f>K18*100</f>
        <v/>
      </c>
      <c r="M18" s="9">
        <f>E18*F18</f>
        <v/>
      </c>
      <c r="N18" s="9">
        <f>D18/1.055</f>
        <v/>
      </c>
      <c r="O18" s="9">
        <f>N18-B18</f>
        <v/>
      </c>
      <c r="P18" s="9">
        <f>O18*F18</f>
        <v/>
      </c>
      <c r="Q18" s="9">
        <f>P18*100</f>
        <v/>
      </c>
      <c r="R18" s="9">
        <f>D18*F18</f>
        <v/>
      </c>
    </row>
    <row r="19" ht="15" customHeight="1" s="6">
      <c r="A19" s="9" t="inlineStr">
        <is>
          <t>Sal laitue blonde 12P c1 SLC1</t>
        </is>
      </c>
      <c r="C19" s="9" t="n">
        <v>1.4</v>
      </c>
      <c r="E19" s="9" t="n">
        <v>1.99</v>
      </c>
      <c r="F19" s="9" t="n">
        <v>36</v>
      </c>
      <c r="G19" s="7">
        <f>Q19/R19</f>
        <v/>
      </c>
      <c r="H19" s="7">
        <f>L19/M19</f>
        <v/>
      </c>
      <c r="I19" s="9">
        <f>E19/1.055</f>
        <v/>
      </c>
      <c r="J19" s="9">
        <f>I19-C19</f>
        <v/>
      </c>
      <c r="K19" s="9">
        <f>J19*F19</f>
        <v/>
      </c>
      <c r="L19" s="9">
        <f>K19*100</f>
        <v/>
      </c>
      <c r="M19" s="9">
        <f>E19*F19</f>
        <v/>
      </c>
      <c r="N19" s="9">
        <f>D19/1.055</f>
        <v/>
      </c>
      <c r="O19" s="9">
        <f>N19-B19</f>
        <v/>
      </c>
      <c r="P19" s="9">
        <f>O19*F19</f>
        <v/>
      </c>
      <c r="Q19" s="9">
        <f>P19*100</f>
        <v/>
      </c>
      <c r="R19" s="9">
        <f>D19*F19</f>
        <v/>
      </c>
    </row>
    <row r="20" ht="15" customHeight="1" s="6">
      <c r="A20" s="9" t="inlineStr">
        <is>
          <t>Concombre 400/500 HVE 12P B&amp;E c1 SLC</t>
        </is>
      </c>
      <c r="C20" s="9" t="n">
        <v>0.95</v>
      </c>
      <c r="E20" s="9" t="n">
        <v>1.49</v>
      </c>
      <c r="F20" s="9" t="n">
        <v>72</v>
      </c>
      <c r="G20" s="7">
        <f>Q20/R20</f>
        <v/>
      </c>
      <c r="H20" s="7">
        <f>L20/M20</f>
        <v/>
      </c>
      <c r="I20" s="9">
        <f>E20/1.055</f>
        <v/>
      </c>
      <c r="J20" s="9">
        <f>I20-C20</f>
        <v/>
      </c>
      <c r="K20" s="9">
        <f>J20*F20</f>
        <v/>
      </c>
      <c r="L20" s="9">
        <f>K20*100</f>
        <v/>
      </c>
      <c r="M20" s="9">
        <f>E20*F20</f>
        <v/>
      </c>
      <c r="N20" s="9">
        <f>D20/1.055</f>
        <v/>
      </c>
      <c r="O20" s="9">
        <f>N20-B20</f>
        <v/>
      </c>
      <c r="P20" s="9">
        <f>O20*F20</f>
        <v/>
      </c>
      <c r="Q20" s="9">
        <f>P20*100</f>
        <v/>
      </c>
      <c r="R20" s="9">
        <f>D20*F20</f>
        <v/>
      </c>
    </row>
    <row r="21" ht="15" customHeight="1" s="6">
      <c r="G21" s="7">
        <f>Q21/R21</f>
        <v/>
      </c>
      <c r="H21" s="7">
        <f>L21/M21</f>
        <v/>
      </c>
      <c r="I21" s="9">
        <f>E21/1.055</f>
        <v/>
      </c>
      <c r="J21" s="9">
        <f>I21-C21</f>
        <v/>
      </c>
      <c r="K21" s="9">
        <f>J21*F21</f>
        <v/>
      </c>
      <c r="L21" s="9">
        <f>K21*100</f>
        <v/>
      </c>
      <c r="M21" s="9">
        <f>E21*F21</f>
        <v/>
      </c>
      <c r="N21" s="9">
        <f>D21/1.055</f>
        <v/>
      </c>
      <c r="O21" s="9">
        <f>N21-B21</f>
        <v/>
      </c>
      <c r="P21" s="9">
        <f>O21*F21</f>
        <v/>
      </c>
      <c r="Q21" s="9">
        <f>P21*100</f>
        <v/>
      </c>
      <c r="R21" s="9">
        <f>D21*F21</f>
        <v/>
      </c>
    </row>
    <row r="22" ht="15" customHeight="1" s="6">
      <c r="G22" s="7">
        <f>Q22/R22</f>
        <v/>
      </c>
      <c r="H22" s="7">
        <f>L22/M22</f>
        <v/>
      </c>
      <c r="I22" s="9">
        <f>E22/1.055</f>
        <v/>
      </c>
      <c r="J22" s="9">
        <f>I22-C22</f>
        <v/>
      </c>
      <c r="K22" s="9">
        <f>J22*F22</f>
        <v/>
      </c>
      <c r="L22" s="9">
        <f>K22*100</f>
        <v/>
      </c>
      <c r="M22" s="9">
        <f>E22*F22</f>
        <v/>
      </c>
      <c r="N22" s="9">
        <f>D22/1.055</f>
        <v/>
      </c>
      <c r="O22" s="9">
        <f>N22-B22</f>
        <v/>
      </c>
      <c r="P22" s="9">
        <f>O22*F22</f>
        <v/>
      </c>
      <c r="Q22" s="9">
        <f>P22*100</f>
        <v/>
      </c>
      <c r="R22" s="9">
        <f>D22*F22</f>
        <v/>
      </c>
    </row>
    <row r="23" ht="15" customHeight="1" s="6">
      <c r="G23" s="7">
        <f>Q23/R23</f>
        <v/>
      </c>
      <c r="H23" s="7">
        <f>L23/M23</f>
        <v/>
      </c>
      <c r="I23" s="9">
        <f>E23/1.055</f>
        <v/>
      </c>
      <c r="J23" s="9">
        <f>I23-C23</f>
        <v/>
      </c>
      <c r="K23" s="9">
        <f>J23*F23</f>
        <v/>
      </c>
      <c r="L23" s="9">
        <f>K23*100</f>
        <v/>
      </c>
      <c r="M23" s="9">
        <f>E23*F23</f>
        <v/>
      </c>
      <c r="N23" s="9">
        <f>D23/1.055</f>
        <v/>
      </c>
      <c r="O23" s="9">
        <f>N23-B23</f>
        <v/>
      </c>
      <c r="P23" s="9">
        <f>O23*F23</f>
        <v/>
      </c>
      <c r="Q23" s="9">
        <f>P23*100</f>
        <v/>
      </c>
      <c r="R23" s="9">
        <f>D23*F23</f>
        <v/>
      </c>
    </row>
    <row r="24" ht="15" customHeight="1" s="6">
      <c r="G24" s="7">
        <f>Q24/R24</f>
        <v/>
      </c>
      <c r="H24" s="7">
        <f>L24/M24</f>
        <v/>
      </c>
      <c r="I24" s="9">
        <f>E24/1.055</f>
        <v/>
      </c>
      <c r="J24" s="9">
        <f>I24-C24</f>
        <v/>
      </c>
      <c r="K24" s="9">
        <f>J24*F24</f>
        <v/>
      </c>
      <c r="L24" s="9">
        <f>K24*100</f>
        <v/>
      </c>
      <c r="M24" s="9">
        <f>E24*F24</f>
        <v/>
      </c>
      <c r="N24" s="9">
        <f>D24/1.055</f>
        <v/>
      </c>
      <c r="O24" s="9">
        <f>N24-B24</f>
        <v/>
      </c>
      <c r="P24" s="9">
        <f>O24*F24</f>
        <v/>
      </c>
      <c r="Q24" s="9">
        <f>P24*100</f>
        <v/>
      </c>
      <c r="R24" s="9">
        <f>D24*F24</f>
        <v/>
      </c>
    </row>
    <row r="25" ht="15" customHeight="1" s="6">
      <c r="G25" s="7">
        <f>Q25/R25</f>
        <v/>
      </c>
      <c r="H25" s="7">
        <f>L25/M25</f>
        <v/>
      </c>
      <c r="I25" s="9">
        <f>E25/1.055</f>
        <v/>
      </c>
      <c r="J25" s="9">
        <f>I25-C25</f>
        <v/>
      </c>
      <c r="K25" s="9">
        <f>J25*F25</f>
        <v/>
      </c>
      <c r="L25" s="9">
        <f>K25*100</f>
        <v/>
      </c>
      <c r="M25" s="9">
        <f>E25*F25</f>
        <v/>
      </c>
      <c r="N25" s="9">
        <f>D25/1.055</f>
        <v/>
      </c>
      <c r="O25" s="9">
        <f>N25-B25</f>
        <v/>
      </c>
      <c r="P25" s="9">
        <f>O25*F25</f>
        <v/>
      </c>
      <c r="Q25" s="9">
        <f>P25*100</f>
        <v/>
      </c>
      <c r="R25" s="9">
        <f>D25*F25</f>
        <v/>
      </c>
    </row>
    <row r="26" ht="15" customHeight="1" s="6">
      <c r="G26" s="7">
        <f>Q26/R26</f>
        <v/>
      </c>
      <c r="H26" s="7">
        <f>L26/M26</f>
        <v/>
      </c>
      <c r="I26" s="9">
        <f>E26/1.055</f>
        <v/>
      </c>
      <c r="J26" s="9">
        <f>I26-C26</f>
        <v/>
      </c>
      <c r="K26" s="9">
        <f>J26*F26</f>
        <v/>
      </c>
      <c r="L26" s="9">
        <f>K26*100</f>
        <v/>
      </c>
      <c r="M26" s="9">
        <f>E26*F26</f>
        <v/>
      </c>
      <c r="N26" s="9">
        <f>D26/1.055</f>
        <v/>
      </c>
      <c r="O26" s="9">
        <f>N26-B26</f>
        <v/>
      </c>
      <c r="P26" s="9">
        <f>O26*F26</f>
        <v/>
      </c>
      <c r="Q26" s="9">
        <f>P26*100</f>
        <v/>
      </c>
      <c r="R26" s="9">
        <f>D26*F26</f>
        <v/>
      </c>
    </row>
    <row r="27" ht="15" customHeight="1" s="6">
      <c r="G27" s="7">
        <f>Q27/R27</f>
        <v/>
      </c>
      <c r="H27" s="7">
        <f>L27/M27</f>
        <v/>
      </c>
      <c r="I27" s="9">
        <f>E27/1.055</f>
        <v/>
      </c>
      <c r="J27" s="9">
        <f>I27-C27</f>
        <v/>
      </c>
      <c r="K27" s="9">
        <f>J27*F27</f>
        <v/>
      </c>
      <c r="L27" s="9">
        <f>K27*100</f>
        <v/>
      </c>
      <c r="M27" s="9">
        <f>E27*F27</f>
        <v/>
      </c>
      <c r="N27" s="9">
        <f>D27/1.055</f>
        <v/>
      </c>
      <c r="O27" s="9">
        <f>N27-B27</f>
        <v/>
      </c>
      <c r="P27" s="9">
        <f>O27*F27</f>
        <v/>
      </c>
      <c r="Q27" s="9">
        <f>P27*100</f>
        <v/>
      </c>
      <c r="R27" s="9">
        <f>D27*F27</f>
        <v/>
      </c>
    </row>
    <row r="28" ht="15" customHeight="1" s="6">
      <c r="G28" s="7">
        <f>Q28/R28</f>
        <v/>
      </c>
      <c r="H28" s="7">
        <f>L28/M28</f>
        <v/>
      </c>
      <c r="I28" s="9">
        <f>E28/1.055</f>
        <v/>
      </c>
      <c r="J28" s="9">
        <f>I28-C28</f>
        <v/>
      </c>
      <c r="K28" s="9">
        <f>J28*F28</f>
        <v/>
      </c>
      <c r="L28" s="9">
        <f>K28*100</f>
        <v/>
      </c>
      <c r="M28" s="9">
        <f>E28*F28</f>
        <v/>
      </c>
      <c r="N28" s="9">
        <f>D28/1.055</f>
        <v/>
      </c>
      <c r="O28" s="9">
        <f>N28-B28</f>
        <v/>
      </c>
      <c r="P28" s="9">
        <f>O28*F28</f>
        <v/>
      </c>
      <c r="Q28" s="9">
        <f>P28*100</f>
        <v/>
      </c>
      <c r="R28" s="9">
        <f>D28*F28</f>
        <v/>
      </c>
    </row>
    <row r="29" ht="15" customHeight="1" s="6">
      <c r="G29" s="7">
        <f>Q29/R29</f>
        <v/>
      </c>
      <c r="H29" s="7">
        <f>L29/M29</f>
        <v/>
      </c>
      <c r="I29" s="9">
        <f>E29/1.055</f>
        <v/>
      </c>
      <c r="J29" s="9">
        <f>I29-C29</f>
        <v/>
      </c>
      <c r="K29" s="9">
        <f>J29*F29</f>
        <v/>
      </c>
      <c r="L29" s="9">
        <f>K29*100</f>
        <v/>
      </c>
      <c r="M29" s="9">
        <f>E29*F29</f>
        <v/>
      </c>
      <c r="N29" s="9">
        <f>D29/1.055</f>
        <v/>
      </c>
      <c r="O29" s="9">
        <f>N29-B29</f>
        <v/>
      </c>
      <c r="P29" s="9">
        <f>O29*F29</f>
        <v/>
      </c>
      <c r="Q29" s="9">
        <f>P29*100</f>
        <v/>
      </c>
      <c r="R29" s="9">
        <f>D29*F29</f>
        <v/>
      </c>
    </row>
    <row r="30" ht="15" customHeight="1" s="6">
      <c r="G30" s="7">
        <f>Q30/R30</f>
        <v/>
      </c>
      <c r="H30" s="7">
        <f>L30/M30</f>
        <v/>
      </c>
      <c r="I30" s="9">
        <f>E30/1.055</f>
        <v/>
      </c>
      <c r="J30" s="9">
        <f>I30-C30</f>
        <v/>
      </c>
      <c r="K30" s="9">
        <f>J30*F30</f>
        <v/>
      </c>
      <c r="L30" s="9">
        <f>K30*100</f>
        <v/>
      </c>
      <c r="M30" s="9">
        <f>E30*F30</f>
        <v/>
      </c>
      <c r="N30" s="9">
        <f>D30/1.055</f>
        <v/>
      </c>
      <c r="O30" s="9">
        <f>N30-B30</f>
        <v/>
      </c>
      <c r="P30" s="9">
        <f>O30*F30</f>
        <v/>
      </c>
      <c r="Q30" s="9">
        <f>P30*100</f>
        <v/>
      </c>
      <c r="R30" s="9">
        <f>D30*F30</f>
        <v/>
      </c>
    </row>
    <row r="31" ht="15" customHeight="1" s="6">
      <c r="G31" s="7">
        <f>Q31/R31</f>
        <v/>
      </c>
      <c r="H31" s="7">
        <f>L31/M31</f>
        <v/>
      </c>
      <c r="I31" s="9">
        <f>E31/1.055</f>
        <v/>
      </c>
      <c r="J31" s="9">
        <f>I31-C31</f>
        <v/>
      </c>
      <c r="K31" s="9">
        <f>J31*F31</f>
        <v/>
      </c>
      <c r="L31" s="9">
        <f>K31*100</f>
        <v/>
      </c>
      <c r="M31" s="9">
        <f>E31*F31</f>
        <v/>
      </c>
      <c r="N31" s="9">
        <f>D31/1.055</f>
        <v/>
      </c>
      <c r="O31" s="9">
        <f>N31-B31</f>
        <v/>
      </c>
      <c r="P31" s="9">
        <f>O31*F31</f>
        <v/>
      </c>
      <c r="Q31" s="9">
        <f>P31*100</f>
        <v/>
      </c>
      <c r="R31" s="9">
        <f>D31*F31</f>
        <v/>
      </c>
    </row>
    <row r="32" ht="15" customHeight="1" s="6">
      <c r="G32" s="7">
        <f>Q32/R32</f>
        <v/>
      </c>
      <c r="H32" s="7">
        <f>L32/M32</f>
        <v/>
      </c>
      <c r="I32" s="9">
        <f>E32/1.055</f>
        <v/>
      </c>
      <c r="J32" s="9">
        <f>I32-C32</f>
        <v/>
      </c>
      <c r="K32" s="9">
        <f>J32*F32</f>
        <v/>
      </c>
      <c r="L32" s="9">
        <f>K32*100</f>
        <v/>
      </c>
      <c r="M32" s="9">
        <f>E32*F32</f>
        <v/>
      </c>
      <c r="N32" s="9">
        <f>D32/1.055</f>
        <v/>
      </c>
      <c r="O32" s="9">
        <f>N32-B32</f>
        <v/>
      </c>
      <c r="P32" s="9">
        <f>O32*F32</f>
        <v/>
      </c>
      <c r="Q32" s="9">
        <f>P32*100</f>
        <v/>
      </c>
      <c r="R32" s="9">
        <f>D32*F32</f>
        <v/>
      </c>
    </row>
    <row r="33" ht="15" customHeight="1" s="6">
      <c r="G33" s="7">
        <f>Q33/R33</f>
        <v/>
      </c>
      <c r="H33" s="7">
        <f>L33/M33</f>
        <v/>
      </c>
      <c r="I33" s="9">
        <f>E33/1.055</f>
        <v/>
      </c>
      <c r="J33" s="9">
        <f>I33-C33</f>
        <v/>
      </c>
      <c r="K33" s="9">
        <f>J33*F33</f>
        <v/>
      </c>
      <c r="L33" s="9">
        <f>K33*100</f>
        <v/>
      </c>
      <c r="M33" s="9">
        <f>E33*F33</f>
        <v/>
      </c>
      <c r="N33" s="9">
        <f>D33/1.055</f>
        <v/>
      </c>
      <c r="O33" s="9">
        <f>N33-B33</f>
        <v/>
      </c>
      <c r="P33" s="9">
        <f>O33*F33</f>
        <v/>
      </c>
      <c r="Q33" s="9">
        <f>P33*100</f>
        <v/>
      </c>
      <c r="R33" s="9">
        <f>D33*F33</f>
        <v/>
      </c>
    </row>
    <row r="34" ht="15" customHeight="1" s="6">
      <c r="G34" s="7">
        <f>Q34/R34</f>
        <v/>
      </c>
      <c r="H34" s="7">
        <f>L34/M34</f>
        <v/>
      </c>
      <c r="I34" s="9">
        <f>E34/1.055</f>
        <v/>
      </c>
      <c r="J34" s="9">
        <f>I34-C34</f>
        <v/>
      </c>
      <c r="K34" s="9">
        <f>J34*F34</f>
        <v/>
      </c>
      <c r="L34" s="9">
        <f>K34*100</f>
        <v/>
      </c>
      <c r="M34" s="9">
        <f>E34*F34</f>
        <v/>
      </c>
      <c r="N34" s="9">
        <f>D34/1.055</f>
        <v/>
      </c>
      <c r="O34" s="9">
        <f>N34-B34</f>
        <v/>
      </c>
      <c r="P34" s="9">
        <f>O34*F34</f>
        <v/>
      </c>
      <c r="Q34" s="9">
        <f>P34*100</f>
        <v/>
      </c>
      <c r="R34" s="9">
        <f>D34*F34</f>
        <v/>
      </c>
    </row>
    <row r="35" ht="15" customHeight="1" s="6">
      <c r="G35" s="7">
        <f>Q35/R35</f>
        <v/>
      </c>
      <c r="H35" s="7">
        <f>L35/M35</f>
        <v/>
      </c>
      <c r="I35" s="9">
        <f>E35/1.055</f>
        <v/>
      </c>
      <c r="J35" s="9">
        <f>I35-C35</f>
        <v/>
      </c>
      <c r="K35" s="9">
        <f>J35*F35</f>
        <v/>
      </c>
      <c r="L35" s="9">
        <f>K35*100</f>
        <v/>
      </c>
      <c r="M35" s="9">
        <f>E35*F35</f>
        <v/>
      </c>
      <c r="N35" s="9">
        <f>D35/1.055</f>
        <v/>
      </c>
      <c r="O35" s="9">
        <f>N35-B35</f>
        <v/>
      </c>
      <c r="P35" s="9">
        <f>O35*F35</f>
        <v/>
      </c>
      <c r="Q35" s="9">
        <f>P35*100</f>
        <v/>
      </c>
      <c r="R35" s="9">
        <f>D35*F35</f>
        <v/>
      </c>
    </row>
    <row r="36" ht="15" customHeight="1" s="6">
      <c r="G36" s="7">
        <f>Q36/R36</f>
        <v/>
      </c>
      <c r="H36" s="7">
        <f>L36/M36</f>
        <v/>
      </c>
      <c r="I36" s="9">
        <f>E36/1.055</f>
        <v/>
      </c>
      <c r="J36" s="9">
        <f>I36-C36</f>
        <v/>
      </c>
      <c r="K36" s="9">
        <f>J36*F36</f>
        <v/>
      </c>
      <c r="L36" s="9">
        <f>K36*100</f>
        <v/>
      </c>
      <c r="M36" s="9">
        <f>E36*F36</f>
        <v/>
      </c>
      <c r="N36" s="9">
        <f>D36/1.055</f>
        <v/>
      </c>
      <c r="O36" s="9">
        <f>N36-B36</f>
        <v/>
      </c>
      <c r="P36" s="9">
        <f>O36*F36</f>
        <v/>
      </c>
      <c r="Q36" s="9">
        <f>P36*100</f>
        <v/>
      </c>
      <c r="R36" s="9">
        <f>D36*F36</f>
        <v/>
      </c>
    </row>
    <row r="37" ht="15" customHeight="1" s="6">
      <c r="G37" s="7">
        <f>Q37/R37</f>
        <v/>
      </c>
      <c r="H37" s="7">
        <f>L37/M37</f>
        <v/>
      </c>
      <c r="I37" s="9">
        <f>E37/1.055</f>
        <v/>
      </c>
      <c r="J37" s="9">
        <f>I37-C37</f>
        <v/>
      </c>
      <c r="K37" s="9">
        <f>J37*F37</f>
        <v/>
      </c>
      <c r="L37" s="9">
        <f>K37*100</f>
        <v/>
      </c>
      <c r="M37" s="9">
        <f>E37*F37</f>
        <v/>
      </c>
      <c r="N37" s="9">
        <f>D37/1.055</f>
        <v/>
      </c>
      <c r="O37" s="9">
        <f>N37-B37</f>
        <v/>
      </c>
      <c r="P37" s="9">
        <f>O37*F37</f>
        <v/>
      </c>
      <c r="Q37" s="9">
        <f>P37*100</f>
        <v/>
      </c>
      <c r="R37" s="9">
        <f>D37*F37</f>
        <v/>
      </c>
    </row>
    <row r="38" ht="15" customHeight="1" s="6">
      <c r="G38" s="7">
        <f>Q38/R38</f>
        <v/>
      </c>
      <c r="H38" s="7">
        <f>L38/M38</f>
        <v/>
      </c>
      <c r="I38" s="9">
        <f>E38/1.055</f>
        <v/>
      </c>
      <c r="J38" s="9">
        <f>I38-C38</f>
        <v/>
      </c>
      <c r="K38" s="9">
        <f>J38*F38</f>
        <v/>
      </c>
      <c r="L38" s="9">
        <f>K38*100</f>
        <v/>
      </c>
      <c r="M38" s="9">
        <f>E38*F38</f>
        <v/>
      </c>
      <c r="N38" s="9">
        <f>D38/1.055</f>
        <v/>
      </c>
      <c r="O38" s="9">
        <f>N38-B38</f>
        <v/>
      </c>
      <c r="P38" s="9">
        <f>O38*F38</f>
        <v/>
      </c>
      <c r="Q38" s="9">
        <f>P38*100</f>
        <v/>
      </c>
      <c r="R38" s="9">
        <f>D38*F38</f>
        <v/>
      </c>
    </row>
    <row r="39" ht="15" customHeight="1" s="6">
      <c r="G39" s="7">
        <f>Q39/R39</f>
        <v/>
      </c>
      <c r="H39" s="7">
        <f>L39/M39</f>
        <v/>
      </c>
      <c r="I39" s="9">
        <f>E39/1.055</f>
        <v/>
      </c>
      <c r="J39" s="9">
        <f>I39-C39</f>
        <v/>
      </c>
      <c r="K39" s="9">
        <f>J39*F39</f>
        <v/>
      </c>
      <c r="L39" s="9">
        <f>K39*100</f>
        <v/>
      </c>
      <c r="M39" s="9">
        <f>E39*F39</f>
        <v/>
      </c>
      <c r="N39" s="9">
        <f>D39/1.055</f>
        <v/>
      </c>
      <c r="O39" s="9">
        <f>N39-B39</f>
        <v/>
      </c>
      <c r="P39" s="9">
        <f>O39*F39</f>
        <v/>
      </c>
      <c r="Q39" s="9">
        <f>P39*100</f>
        <v/>
      </c>
      <c r="R39" s="9">
        <f>D39*F39</f>
        <v/>
      </c>
    </row>
    <row r="40" ht="15" customHeight="1" s="6">
      <c r="G40" s="7">
        <f>Q40/R40</f>
        <v/>
      </c>
      <c r="H40" s="7">
        <f>L40/M40</f>
        <v/>
      </c>
      <c r="I40" s="9">
        <f>E40/1.055</f>
        <v/>
      </c>
      <c r="J40" s="9">
        <f>I40-C40</f>
        <v/>
      </c>
      <c r="K40" s="9">
        <f>J40*F40</f>
        <v/>
      </c>
      <c r="L40" s="9">
        <f>K40*100</f>
        <v/>
      </c>
      <c r="M40" s="9">
        <f>E40*F40</f>
        <v/>
      </c>
      <c r="N40" s="9">
        <f>D40/1.055</f>
        <v/>
      </c>
      <c r="O40" s="9">
        <f>N40-B40</f>
        <v/>
      </c>
      <c r="P40" s="9">
        <f>O40*F40</f>
        <v/>
      </c>
      <c r="Q40" s="9">
        <f>P40*100</f>
        <v/>
      </c>
      <c r="R40" s="9">
        <f>D40*F40</f>
        <v/>
      </c>
    </row>
    <row r="41" ht="15" customHeight="1" s="6">
      <c r="G41" s="7">
        <f>Q41/R41</f>
        <v/>
      </c>
      <c r="H41" s="7">
        <f>L41/M41</f>
        <v/>
      </c>
      <c r="I41" s="9">
        <f>E41/1.055</f>
        <v/>
      </c>
      <c r="J41" s="9">
        <f>I41-C41</f>
        <v/>
      </c>
      <c r="K41" s="9">
        <f>J41*F41</f>
        <v/>
      </c>
      <c r="L41" s="9">
        <f>K41*100</f>
        <v/>
      </c>
      <c r="M41" s="9">
        <f>E41*F41</f>
        <v/>
      </c>
      <c r="N41" s="9">
        <f>D41/1.055</f>
        <v/>
      </c>
      <c r="O41" s="9">
        <f>N41-B41</f>
        <v/>
      </c>
      <c r="P41" s="9">
        <f>O41*F41</f>
        <v/>
      </c>
      <c r="Q41" s="9">
        <f>P41*100</f>
        <v/>
      </c>
      <c r="R41" s="9">
        <f>D41*F41</f>
        <v/>
      </c>
    </row>
    <row r="42" ht="15" customHeight="1" s="6">
      <c r="G42" s="7">
        <f>Q42/R42</f>
        <v/>
      </c>
      <c r="H42" s="7">
        <f>L42/M42</f>
        <v/>
      </c>
      <c r="I42" s="9">
        <f>E42/1.055</f>
        <v/>
      </c>
      <c r="J42" s="9">
        <f>I42-C42</f>
        <v/>
      </c>
      <c r="K42" s="9">
        <f>J42*F42</f>
        <v/>
      </c>
      <c r="L42" s="9">
        <f>K42*100</f>
        <v/>
      </c>
      <c r="M42" s="9">
        <f>E42*F42</f>
        <v/>
      </c>
      <c r="N42" s="9">
        <f>D42/1.055</f>
        <v/>
      </c>
      <c r="O42" s="9">
        <f>N42-B42</f>
        <v/>
      </c>
      <c r="P42" s="9">
        <f>O42*F42</f>
        <v/>
      </c>
      <c r="Q42" s="9">
        <f>P42*100</f>
        <v/>
      </c>
      <c r="R42" s="9">
        <f>D42*F42</f>
        <v/>
      </c>
    </row>
    <row r="43" ht="15" customHeight="1" s="6">
      <c r="G43" s="7">
        <f>Q43/R43</f>
        <v/>
      </c>
      <c r="H43" s="7">
        <f>L43/M43</f>
        <v/>
      </c>
      <c r="I43" s="9">
        <f>E43/1.055</f>
        <v/>
      </c>
      <c r="J43" s="9">
        <f>I43-C43</f>
        <v/>
      </c>
      <c r="K43" s="9">
        <f>J43*F43</f>
        <v/>
      </c>
      <c r="L43" s="9">
        <f>K43*100</f>
        <v/>
      </c>
      <c r="M43" s="9">
        <f>E43*F43</f>
        <v/>
      </c>
      <c r="N43" s="9">
        <f>D43/1.055</f>
        <v/>
      </c>
      <c r="O43" s="9">
        <f>N43-B43</f>
        <v/>
      </c>
      <c r="P43" s="9">
        <f>O43*F43</f>
        <v/>
      </c>
      <c r="Q43" s="9">
        <f>P43*100</f>
        <v/>
      </c>
      <c r="R43" s="9">
        <f>D43*F43</f>
        <v/>
      </c>
    </row>
    <row r="44" ht="15" customHeight="1" s="6">
      <c r="G44" s="7">
        <f>Q44/R44</f>
        <v/>
      </c>
      <c r="H44" s="7">
        <f>L44/M44</f>
        <v/>
      </c>
      <c r="I44" s="9">
        <f>E44/1.055</f>
        <v/>
      </c>
      <c r="J44" s="9">
        <f>I44-C44</f>
        <v/>
      </c>
      <c r="K44" s="9">
        <f>J44*F44</f>
        <v/>
      </c>
      <c r="L44" s="9">
        <f>K44*100</f>
        <v/>
      </c>
      <c r="M44" s="9">
        <f>E44*F44</f>
        <v/>
      </c>
      <c r="N44" s="9">
        <f>D44/1.055</f>
        <v/>
      </c>
      <c r="O44" s="9">
        <f>N44-B44</f>
        <v/>
      </c>
      <c r="P44" s="9">
        <f>O44*F44</f>
        <v/>
      </c>
      <c r="Q44" s="9">
        <f>P44*100</f>
        <v/>
      </c>
      <c r="R44" s="9">
        <f>D44*F44</f>
        <v/>
      </c>
    </row>
    <row r="45" ht="15" customHeight="1" s="6">
      <c r="G45" s="7">
        <f>Q45/R45</f>
        <v/>
      </c>
      <c r="H45" s="7">
        <f>L45/M45</f>
        <v/>
      </c>
      <c r="I45" s="9">
        <f>E45/1.055</f>
        <v/>
      </c>
      <c r="J45" s="9">
        <f>I45-C45</f>
        <v/>
      </c>
      <c r="K45" s="9">
        <f>J45*F45</f>
        <v/>
      </c>
      <c r="L45" s="9">
        <f>K45*100</f>
        <v/>
      </c>
      <c r="M45" s="9">
        <f>E45*F45</f>
        <v/>
      </c>
      <c r="N45" s="9">
        <f>D45/1.055</f>
        <v/>
      </c>
      <c r="O45" s="9">
        <f>N45-B45</f>
        <v/>
      </c>
      <c r="P45" s="9">
        <f>O45*F45</f>
        <v/>
      </c>
      <c r="Q45" s="9">
        <f>P45*100</f>
        <v/>
      </c>
      <c r="R45" s="9">
        <f>D45*F45</f>
        <v/>
      </c>
    </row>
    <row r="46" ht="15" customHeight="1" s="6">
      <c r="G46" s="7">
        <f>Q46/R46</f>
        <v/>
      </c>
      <c r="H46" s="7">
        <f>L46/M46</f>
        <v/>
      </c>
      <c r="I46" s="9">
        <f>E46/1.055</f>
        <v/>
      </c>
      <c r="J46" s="9">
        <f>I46-C46</f>
        <v/>
      </c>
      <c r="K46" s="9">
        <f>J46*F46</f>
        <v/>
      </c>
      <c r="L46" s="9">
        <f>K46*100</f>
        <v/>
      </c>
      <c r="M46" s="9">
        <f>E46*F46</f>
        <v/>
      </c>
      <c r="N46" s="9">
        <f>D46/1.055</f>
        <v/>
      </c>
      <c r="O46" s="9">
        <f>N46-B46</f>
        <v/>
      </c>
      <c r="P46" s="9">
        <f>O46*F46</f>
        <v/>
      </c>
      <c r="Q46" s="9">
        <f>P46*100</f>
        <v/>
      </c>
      <c r="R46" s="9">
        <f>D46*F46</f>
        <v/>
      </c>
    </row>
    <row r="47" ht="15" customHeight="1" s="6">
      <c r="G47" s="7">
        <f>Q47/R47</f>
        <v/>
      </c>
      <c r="H47" s="7">
        <f>L47/M47</f>
        <v/>
      </c>
      <c r="I47" s="9">
        <f>E47/1.055</f>
        <v/>
      </c>
      <c r="J47" s="9">
        <f>I47-C47</f>
        <v/>
      </c>
      <c r="K47" s="9">
        <f>J47*F47</f>
        <v/>
      </c>
      <c r="L47" s="9">
        <f>K47*100</f>
        <v/>
      </c>
      <c r="M47" s="9">
        <f>E47*F47</f>
        <v/>
      </c>
      <c r="N47" s="9">
        <f>D47/1.055</f>
        <v/>
      </c>
      <c r="O47" s="9">
        <f>N47-B47</f>
        <v/>
      </c>
      <c r="P47" s="9">
        <f>O47*F47</f>
        <v/>
      </c>
      <c r="Q47" s="9">
        <f>P47*100</f>
        <v/>
      </c>
      <c r="R47" s="9">
        <f>D47*F47</f>
        <v/>
      </c>
    </row>
    <row r="48" ht="15" customHeight="1" s="6">
      <c r="G48" s="7">
        <f>Q48/R48</f>
        <v/>
      </c>
      <c r="H48" s="7">
        <f>L48/M48</f>
        <v/>
      </c>
      <c r="I48" s="9">
        <f>E48/1.055</f>
        <v/>
      </c>
      <c r="J48" s="9">
        <f>I48-C48</f>
        <v/>
      </c>
      <c r="K48" s="9">
        <f>J48*F48</f>
        <v/>
      </c>
      <c r="L48" s="9">
        <f>K48*100</f>
        <v/>
      </c>
      <c r="M48" s="9">
        <f>E48*F48</f>
        <v/>
      </c>
      <c r="N48" s="9">
        <f>D48/1.055</f>
        <v/>
      </c>
      <c r="O48" s="9">
        <f>N48-B48</f>
        <v/>
      </c>
      <c r="P48" s="9">
        <f>O48*F48</f>
        <v/>
      </c>
      <c r="Q48" s="9">
        <f>P48*100</f>
        <v/>
      </c>
      <c r="R48" s="9">
        <f>D48*F48</f>
        <v/>
      </c>
    </row>
    <row r="49" ht="15" customHeight="1" s="6">
      <c r="G49" s="7">
        <f>Q49/R49</f>
        <v/>
      </c>
      <c r="H49" s="7">
        <f>L49/M49</f>
        <v/>
      </c>
      <c r="I49" s="9">
        <f>E49/1.055</f>
        <v/>
      </c>
      <c r="J49" s="9">
        <f>I49-C49</f>
        <v/>
      </c>
      <c r="K49" s="9">
        <f>J49*F49</f>
        <v/>
      </c>
      <c r="L49" s="9">
        <f>K49*100</f>
        <v/>
      </c>
      <c r="M49" s="9">
        <f>E49*F49</f>
        <v/>
      </c>
      <c r="N49" s="9">
        <f>D49/1.055</f>
        <v/>
      </c>
      <c r="O49" s="9">
        <f>N49-B49</f>
        <v/>
      </c>
      <c r="P49" s="9">
        <f>O49*F49</f>
        <v/>
      </c>
      <c r="Q49" s="9">
        <f>P49*100</f>
        <v/>
      </c>
      <c r="R49" s="9">
        <f>D49*F49</f>
        <v/>
      </c>
    </row>
    <row r="50" ht="15" customHeight="1" s="6">
      <c r="G50" s="7">
        <f>Q50/R50</f>
        <v/>
      </c>
      <c r="H50" s="7">
        <f>L50/M50</f>
        <v/>
      </c>
      <c r="I50" s="9">
        <f>E50/1.055</f>
        <v/>
      </c>
      <c r="J50" s="9">
        <f>I50-C50</f>
        <v/>
      </c>
      <c r="K50" s="9">
        <f>J50*F50</f>
        <v/>
      </c>
      <c r="L50" s="9">
        <f>K50*100</f>
        <v/>
      </c>
      <c r="M50" s="9">
        <f>E50*F50</f>
        <v/>
      </c>
      <c r="N50" s="9">
        <f>D50/1.055</f>
        <v/>
      </c>
      <c r="O50" s="9">
        <f>N50-B50</f>
        <v/>
      </c>
      <c r="P50" s="9">
        <f>O50*F50</f>
        <v/>
      </c>
      <c r="Q50" s="9">
        <f>P50*100</f>
        <v/>
      </c>
      <c r="R50" s="9">
        <f>D50*F50</f>
        <v/>
      </c>
    </row>
    <row r="51" ht="15" customHeight="1" s="6">
      <c r="G51" s="7">
        <f>Q51/R51</f>
        <v/>
      </c>
      <c r="H51" s="7">
        <f>L51/M51</f>
        <v/>
      </c>
      <c r="I51" s="9">
        <f>E51/1.055</f>
        <v/>
      </c>
      <c r="J51" s="9">
        <f>I51-C51</f>
        <v/>
      </c>
      <c r="K51" s="9">
        <f>J51*F51</f>
        <v/>
      </c>
      <c r="L51" s="9">
        <f>K51*100</f>
        <v/>
      </c>
      <c r="M51" s="9">
        <f>E51*F51</f>
        <v/>
      </c>
      <c r="N51" s="9">
        <f>D51/1.055</f>
        <v/>
      </c>
      <c r="O51" s="9">
        <f>N51-B51</f>
        <v/>
      </c>
      <c r="P51" s="9">
        <f>O51*F51</f>
        <v/>
      </c>
      <c r="Q51" s="9">
        <f>P51*100</f>
        <v/>
      </c>
      <c r="R51" s="9">
        <f>D51*F51</f>
        <v/>
      </c>
    </row>
  </sheetData>
  <conditionalFormatting sqref="E50">
    <cfRule type="cellIs" rank="0" priority="2" equalAverage="0" operator="lessThan" aboveAverage="0" dxfId="0" text="" percent="0" bottom="0">
      <formula>$D$50</formula>
    </cfRule>
  </conditionalFormatting>
  <conditionalFormatting sqref="D50">
    <cfRule type="cellIs" rank="0" priority="3" equalAverage="0" operator="lessThan" aboveAverage="0" dxfId="0" text="" percent="0" bottom="0">
      <formula>$E$50</formula>
    </cfRule>
  </conditionalFormatting>
  <conditionalFormatting sqref="E49">
    <cfRule type="cellIs" rank="0" priority="4" equalAverage="0" operator="lessThan" aboveAverage="0" dxfId="0" text="" percent="0" bottom="0">
      <formula>$D$49</formula>
    </cfRule>
  </conditionalFormatting>
  <conditionalFormatting sqref="D49">
    <cfRule type="cellIs" rank="0" priority="5" equalAverage="0" operator="lessThan" aboveAverage="0" dxfId="0" text="" percent="0" bottom="0">
      <formula>$E$49</formula>
    </cfRule>
  </conditionalFormatting>
  <conditionalFormatting sqref="E48">
    <cfRule type="cellIs" rank="0" priority="6" equalAverage="0" operator="lessThan" aboveAverage="0" dxfId="0" text="" percent="0" bottom="0">
      <formula>$D$48</formula>
    </cfRule>
  </conditionalFormatting>
  <conditionalFormatting sqref="D48">
    <cfRule type="cellIs" rank="0" priority="7" equalAverage="0" operator="lessThan" aboveAverage="0" dxfId="0" text="" percent="0" bottom="0">
      <formula>$E$48</formula>
    </cfRule>
  </conditionalFormatting>
  <conditionalFormatting sqref="E47">
    <cfRule type="cellIs" rank="0" priority="8" equalAverage="0" operator="lessThan" aboveAverage="0" dxfId="0" text="" percent="0" bottom="0">
      <formula>$D$47</formula>
    </cfRule>
  </conditionalFormatting>
  <conditionalFormatting sqref="D47">
    <cfRule type="cellIs" rank="0" priority="9" equalAverage="0" operator="lessThan" aboveAverage="0" dxfId="0" text="" percent="0" bottom="0">
      <formula>$E$47</formula>
    </cfRule>
  </conditionalFormatting>
  <conditionalFormatting sqref="E46">
    <cfRule type="cellIs" rank="0" priority="10" equalAverage="0" operator="lessThan" aboveAverage="0" dxfId="0" text="" percent="0" bottom="0">
      <formula>$D$46</formula>
    </cfRule>
  </conditionalFormatting>
  <conditionalFormatting sqref="D46">
    <cfRule type="cellIs" rank="0" priority="11" equalAverage="0" operator="lessThan" aboveAverage="0" dxfId="0" text="" percent="0" bottom="0">
      <formula>$E$46</formula>
    </cfRule>
  </conditionalFormatting>
  <conditionalFormatting sqref="E45">
    <cfRule type="cellIs" rank="0" priority="12" equalAverage="0" operator="lessThan" aboveAverage="0" dxfId="0" text="" percent="0" bottom="0">
      <formula>$D$45</formula>
    </cfRule>
  </conditionalFormatting>
  <conditionalFormatting sqref="D45">
    <cfRule type="cellIs" rank="0" priority="13" equalAverage="0" operator="lessThan" aboveAverage="0" dxfId="0" text="" percent="0" bottom="0">
      <formula>$E$45</formula>
    </cfRule>
  </conditionalFormatting>
  <conditionalFormatting sqref="E44">
    <cfRule type="cellIs" rank="0" priority="14" equalAverage="0" operator="lessThan" aboveAverage="0" dxfId="0" text="" percent="0" bottom="0">
      <formula>$D$44</formula>
    </cfRule>
  </conditionalFormatting>
  <conditionalFormatting sqref="D44">
    <cfRule type="cellIs" rank="0" priority="15" equalAverage="0" operator="lessThan" aboveAverage="0" dxfId="0" text="" percent="0" bottom="0">
      <formula>$E$44</formula>
    </cfRule>
  </conditionalFormatting>
  <conditionalFormatting sqref="E43">
    <cfRule type="cellIs" rank="0" priority="16" equalAverage="0" operator="lessThan" aboveAverage="0" dxfId="0" text="" percent="0" bottom="0">
      <formula>$D$43</formula>
    </cfRule>
  </conditionalFormatting>
  <conditionalFormatting sqref="D43">
    <cfRule type="cellIs" rank="0" priority="17" equalAverage="0" operator="lessThan" aboveAverage="0" dxfId="0" text="" percent="0" bottom="0">
      <formula>$E$43</formula>
    </cfRule>
  </conditionalFormatting>
  <conditionalFormatting sqref="E42">
    <cfRule type="cellIs" rank="0" priority="18" equalAverage="0" operator="lessThan" aboveAverage="0" dxfId="0" text="" percent="0" bottom="0">
      <formula>$D$42</formula>
    </cfRule>
  </conditionalFormatting>
  <conditionalFormatting sqref="D42">
    <cfRule type="cellIs" rank="0" priority="19" equalAverage="0" operator="lessThan" aboveAverage="0" dxfId="0" text="" percent="0" bottom="0">
      <formula>$E$42</formula>
    </cfRule>
  </conditionalFormatting>
  <conditionalFormatting sqref="E41">
    <cfRule type="cellIs" rank="0" priority="20" equalAverage="0" operator="lessThan" aboveAverage="0" dxfId="0" text="" percent="0" bottom="0">
      <formula>$D$41</formula>
    </cfRule>
  </conditionalFormatting>
  <conditionalFormatting sqref="D41">
    <cfRule type="cellIs" rank="0" priority="21" equalAverage="0" operator="lessThan" aboveAverage="0" dxfId="0" text="" percent="0" bottom="0">
      <formula>$E$41</formula>
    </cfRule>
  </conditionalFormatting>
  <conditionalFormatting sqref="E40">
    <cfRule type="cellIs" rank="0" priority="22" equalAverage="0" operator="lessThan" aboveAverage="0" dxfId="0" text="" percent="0" bottom="0">
      <formula>$D$40</formula>
    </cfRule>
  </conditionalFormatting>
  <conditionalFormatting sqref="D40">
    <cfRule type="cellIs" rank="0" priority="23" equalAverage="0" operator="lessThan" aboveAverage="0" dxfId="0" text="" percent="0" bottom="0">
      <formula>$E$40</formula>
    </cfRule>
  </conditionalFormatting>
  <conditionalFormatting sqref="E39">
    <cfRule type="cellIs" rank="0" priority="24" equalAverage="0" operator="lessThan" aboveAverage="0" dxfId="0" text="" percent="0" bottom="0">
      <formula>$D$39</formula>
    </cfRule>
  </conditionalFormatting>
  <conditionalFormatting sqref="D39">
    <cfRule type="cellIs" rank="0" priority="25" equalAverage="0" operator="lessThan" aboveAverage="0" dxfId="0" text="" percent="0" bottom="0">
      <formula>$E$39</formula>
    </cfRule>
  </conditionalFormatting>
  <conditionalFormatting sqref="E38">
    <cfRule type="cellIs" rank="0" priority="26" equalAverage="0" operator="lessThan" aboveAverage="0" dxfId="0" text="" percent="0" bottom="0">
      <formula>$D$38</formula>
    </cfRule>
  </conditionalFormatting>
  <conditionalFormatting sqref="D38">
    <cfRule type="cellIs" rank="0" priority="27" equalAverage="0" operator="lessThan" aboveAverage="0" dxfId="0" text="" percent="0" bottom="0">
      <formula>$E$38</formula>
    </cfRule>
  </conditionalFormatting>
  <conditionalFormatting sqref="E37">
    <cfRule type="cellIs" rank="0" priority="28" equalAverage="0" operator="lessThan" aboveAverage="0" dxfId="0" text="" percent="0" bottom="0">
      <formula>$D$37</formula>
    </cfRule>
  </conditionalFormatting>
  <conditionalFormatting sqref="D37">
    <cfRule type="cellIs" rank="0" priority="29" equalAverage="0" operator="lessThan" aboveAverage="0" dxfId="0" text="" percent="0" bottom="0">
      <formula>$E$37</formula>
    </cfRule>
  </conditionalFormatting>
  <conditionalFormatting sqref="E36">
    <cfRule type="cellIs" rank="0" priority="30" equalAverage="0" operator="lessThan" aboveAverage="0" dxfId="0" text="" percent="0" bottom="0">
      <formula>$D$36</formula>
    </cfRule>
  </conditionalFormatting>
  <conditionalFormatting sqref="D36">
    <cfRule type="cellIs" rank="0" priority="31" equalAverage="0" operator="lessThan" aboveAverage="0" dxfId="0" text="" percent="0" bottom="0">
      <formula>$E$36</formula>
    </cfRule>
  </conditionalFormatting>
  <conditionalFormatting sqref="E35">
    <cfRule type="cellIs" rank="0" priority="32" equalAverage="0" operator="lessThan" aboveAverage="0" dxfId="0" text="" percent="0" bottom="0">
      <formula>$D$35</formula>
    </cfRule>
  </conditionalFormatting>
  <conditionalFormatting sqref="D35">
    <cfRule type="cellIs" rank="0" priority="33" equalAverage="0" operator="lessThan" aboveAverage="0" dxfId="0" text="" percent="0" bottom="0">
      <formula>$E$35</formula>
    </cfRule>
  </conditionalFormatting>
  <conditionalFormatting sqref="E34">
    <cfRule type="cellIs" rank="0" priority="34" equalAverage="0" operator="lessThan" aboveAverage="0" dxfId="0" text="" percent="0" bottom="0">
      <formula>$D$34</formula>
    </cfRule>
  </conditionalFormatting>
  <conditionalFormatting sqref="D34">
    <cfRule type="cellIs" rank="0" priority="35" equalAverage="0" operator="lessThan" aboveAverage="0" dxfId="0" text="" percent="0" bottom="0">
      <formula>$E$34</formula>
    </cfRule>
  </conditionalFormatting>
  <conditionalFormatting sqref="E33">
    <cfRule type="cellIs" rank="0" priority="36" equalAverage="0" operator="lessThan" aboveAverage="0" dxfId="0" text="" percent="0" bottom="0">
      <formula>$D$33</formula>
    </cfRule>
  </conditionalFormatting>
  <conditionalFormatting sqref="D33">
    <cfRule type="cellIs" rank="0" priority="37" equalAverage="0" operator="lessThan" aboveAverage="0" dxfId="0" text="" percent="0" bottom="0">
      <formula>$E$33</formula>
    </cfRule>
  </conditionalFormatting>
  <conditionalFormatting sqref="E32">
    <cfRule type="cellIs" rank="0" priority="38" equalAverage="0" operator="lessThan" aboveAverage="0" dxfId="0" text="" percent="0" bottom="0">
      <formula>$D$32</formula>
    </cfRule>
  </conditionalFormatting>
  <conditionalFormatting sqref="D32">
    <cfRule type="cellIs" rank="0" priority="39" equalAverage="0" operator="lessThan" aboveAverage="0" dxfId="0" text="" percent="0" bottom="0">
      <formula>$E$32</formula>
    </cfRule>
  </conditionalFormatting>
  <conditionalFormatting sqref="E31">
    <cfRule type="cellIs" rank="0" priority="40" equalAverage="0" operator="lessThan" aboveAverage="0" dxfId="0" text="" percent="0" bottom="0">
      <formula>$D$31</formula>
    </cfRule>
  </conditionalFormatting>
  <conditionalFormatting sqref="D31">
    <cfRule type="cellIs" rank="0" priority="41" equalAverage="0" operator="lessThan" aboveAverage="0" dxfId="0" text="" percent="0" bottom="0">
      <formula>$E$31</formula>
    </cfRule>
  </conditionalFormatting>
  <conditionalFormatting sqref="E30">
    <cfRule type="cellIs" rank="0" priority="42" equalAverage="0" operator="lessThan" aboveAverage="0" dxfId="0" text="" percent="0" bottom="0">
      <formula>$D$30</formula>
    </cfRule>
  </conditionalFormatting>
  <conditionalFormatting sqref="D30">
    <cfRule type="cellIs" rank="0" priority="43" equalAverage="0" operator="lessThan" aboveAverage="0" dxfId="0" text="" percent="0" bottom="0">
      <formula>$E$30</formula>
    </cfRule>
  </conditionalFormatting>
  <conditionalFormatting sqref="E29">
    <cfRule type="cellIs" rank="0" priority="44" equalAverage="0" operator="lessThan" aboveAverage="0" dxfId="0" text="" percent="0" bottom="0">
      <formula>$D$29</formula>
    </cfRule>
  </conditionalFormatting>
  <conditionalFormatting sqref="D29">
    <cfRule type="cellIs" rank="0" priority="45" equalAverage="0" operator="lessThan" aboveAverage="0" dxfId="0" text="" percent="0" bottom="0">
      <formula>$E$29</formula>
    </cfRule>
  </conditionalFormatting>
  <conditionalFormatting sqref="E28">
    <cfRule type="cellIs" rank="0" priority="46" equalAverage="0" operator="lessThan" aboveAverage="0" dxfId="0" text="" percent="0" bottom="0">
      <formula>$D$28</formula>
    </cfRule>
  </conditionalFormatting>
  <conditionalFormatting sqref="D28">
    <cfRule type="cellIs" rank="0" priority="47" equalAverage="0" operator="lessThan" aboveAverage="0" dxfId="0" text="" percent="0" bottom="0">
      <formula>$E$28</formula>
    </cfRule>
  </conditionalFormatting>
  <conditionalFormatting sqref="E27">
    <cfRule type="cellIs" rank="0" priority="48" equalAverage="0" operator="lessThan" aboveAverage="0" dxfId="0" text="" percent="0" bottom="0">
      <formula>$D$27</formula>
    </cfRule>
  </conditionalFormatting>
  <conditionalFormatting sqref="D27">
    <cfRule type="cellIs" rank="0" priority="49" equalAverage="0" operator="lessThan" aboveAverage="0" dxfId="0" text="" percent="0" bottom="0">
      <formula>$E$27</formula>
    </cfRule>
  </conditionalFormatting>
  <conditionalFormatting sqref="E26">
    <cfRule type="cellIs" rank="0" priority="50" equalAverage="0" operator="lessThan" aboveAverage="0" dxfId="0" text="" percent="0" bottom="0">
      <formula>$D$26</formula>
    </cfRule>
  </conditionalFormatting>
  <conditionalFormatting sqref="D26">
    <cfRule type="cellIs" rank="0" priority="51" equalAverage="0" operator="lessThan" aboveAverage="0" dxfId="0" text="" percent="0" bottom="0">
      <formula>$E$26</formula>
    </cfRule>
  </conditionalFormatting>
  <conditionalFormatting sqref="E25">
    <cfRule type="cellIs" rank="0" priority="52" equalAverage="0" operator="lessThan" aboveAverage="0" dxfId="0" text="" percent="0" bottom="0">
      <formula>$D$25</formula>
    </cfRule>
  </conditionalFormatting>
  <conditionalFormatting sqref="D25">
    <cfRule type="cellIs" rank="0" priority="53" equalAverage="0" operator="lessThan" aboveAverage="0" dxfId="0" text="" percent="0" bottom="0">
      <formula>$E$25</formula>
    </cfRule>
  </conditionalFormatting>
  <conditionalFormatting sqref="E24">
    <cfRule type="cellIs" rank="0" priority="54" equalAverage="0" operator="lessThan" aboveAverage="0" dxfId="0" text="" percent="0" bottom="0">
      <formula>$D$24</formula>
    </cfRule>
  </conditionalFormatting>
  <conditionalFormatting sqref="D24">
    <cfRule type="cellIs" rank="0" priority="55" equalAverage="0" operator="lessThan" aboveAverage="0" dxfId="0" text="" percent="0" bottom="0">
      <formula>$E$24</formula>
    </cfRule>
  </conditionalFormatting>
  <conditionalFormatting sqref="E23">
    <cfRule type="cellIs" rank="0" priority="56" equalAverage="0" operator="lessThan" aboveAverage="0" dxfId="0" text="" percent="0" bottom="0">
      <formula>$D$23</formula>
    </cfRule>
  </conditionalFormatting>
  <conditionalFormatting sqref="D23">
    <cfRule type="cellIs" rank="0" priority="57" equalAverage="0" operator="lessThan" aboveAverage="0" dxfId="0" text="" percent="0" bottom="0">
      <formula>$E$23</formula>
    </cfRule>
  </conditionalFormatting>
  <conditionalFormatting sqref="E22">
    <cfRule type="cellIs" rank="0" priority="58" equalAverage="0" operator="lessThan" aboveAverage="0" dxfId="0" text="" percent="0" bottom="0">
      <formula>$D$22</formula>
    </cfRule>
  </conditionalFormatting>
  <conditionalFormatting sqref="D22">
    <cfRule type="cellIs" rank="0" priority="59" equalAverage="0" operator="lessThan" aboveAverage="0" dxfId="0" text="" percent="0" bottom="0">
      <formula>$E$22</formula>
    </cfRule>
  </conditionalFormatting>
  <conditionalFormatting sqref="E21">
    <cfRule type="cellIs" rank="0" priority="60" equalAverage="0" operator="lessThan" aboveAverage="0" dxfId="0" text="" percent="0" bottom="0">
      <formula>$D$21</formula>
    </cfRule>
  </conditionalFormatting>
  <conditionalFormatting sqref="D21">
    <cfRule type="cellIs" rank="0" priority="61" equalAverage="0" operator="lessThan" aboveAverage="0" dxfId="0" text="" percent="0" bottom="0">
      <formula>$E$21</formula>
    </cfRule>
  </conditionalFormatting>
  <conditionalFormatting sqref="E20">
    <cfRule type="cellIs" rank="0" priority="62" equalAverage="0" operator="lessThan" aboveAverage="0" dxfId="0" text="" percent="0" bottom="0">
      <formula>$D$20</formula>
    </cfRule>
  </conditionalFormatting>
  <conditionalFormatting sqref="D20">
    <cfRule type="cellIs" rank="0" priority="63" equalAverage="0" operator="lessThan" aboveAverage="0" dxfId="0" text="" percent="0" bottom="0">
      <formula>$E$20</formula>
    </cfRule>
  </conditionalFormatting>
  <conditionalFormatting sqref="E19">
    <cfRule type="cellIs" rank="0" priority="64" equalAverage="0" operator="lessThan" aboveAverage="0" dxfId="0" text="" percent="0" bottom="0">
      <formula>$D$19</formula>
    </cfRule>
  </conditionalFormatting>
  <conditionalFormatting sqref="D19">
    <cfRule type="cellIs" rank="0" priority="65" equalAverage="0" operator="lessThan" aboveAverage="0" dxfId="0" text="" percent="0" bottom="0">
      <formula>$E$19</formula>
    </cfRule>
  </conditionalFormatting>
  <conditionalFormatting sqref="E18">
    <cfRule type="cellIs" rank="0" priority="66" equalAverage="0" operator="lessThan" aboveAverage="0" dxfId="0" text="" percent="0" bottom="0">
      <formula>$D$18</formula>
    </cfRule>
  </conditionalFormatting>
  <conditionalFormatting sqref="D18">
    <cfRule type="cellIs" rank="0" priority="67" equalAverage="0" operator="lessThan" aboveAverage="0" dxfId="0" text="" percent="0" bottom="0">
      <formula>$E$18</formula>
    </cfRule>
  </conditionalFormatting>
  <conditionalFormatting sqref="E17">
    <cfRule type="cellIs" rank="0" priority="68" equalAverage="0" operator="lessThan" aboveAverage="0" dxfId="0" text="" percent="0" bottom="0">
      <formula>$D$17</formula>
    </cfRule>
  </conditionalFormatting>
  <conditionalFormatting sqref="D17">
    <cfRule type="cellIs" rank="0" priority="69" equalAverage="0" operator="lessThan" aboveAverage="0" dxfId="0" text="" percent="0" bottom="0">
      <formula>$E$17</formula>
    </cfRule>
  </conditionalFormatting>
  <conditionalFormatting sqref="E16">
    <cfRule type="cellIs" rank="0" priority="70" equalAverage="0" operator="lessThan" aboveAverage="0" dxfId="0" text="" percent="0" bottom="0">
      <formula>$D$16</formula>
    </cfRule>
  </conditionalFormatting>
  <conditionalFormatting sqref="D16">
    <cfRule type="cellIs" rank="0" priority="71" equalAverage="0" operator="lessThan" aboveAverage="0" dxfId="0" text="" percent="0" bottom="0">
      <formula>$E$16</formula>
    </cfRule>
  </conditionalFormatting>
  <conditionalFormatting sqref="E15">
    <cfRule type="cellIs" rank="0" priority="72" equalAverage="0" operator="lessThan" aboveAverage="0" dxfId="0" text="" percent="0" bottom="0">
      <formula>$D$15</formula>
    </cfRule>
  </conditionalFormatting>
  <conditionalFormatting sqref="D15">
    <cfRule type="cellIs" rank="0" priority="73" equalAverage="0" operator="lessThan" aboveAverage="0" dxfId="0" text="" percent="0" bottom="0">
      <formula>$E$15</formula>
    </cfRule>
  </conditionalFormatting>
  <conditionalFormatting sqref="E14">
    <cfRule type="cellIs" rank="0" priority="74" equalAverage="0" operator="lessThan" aboveAverage="0" dxfId="0" text="" percent="0" bottom="0">
      <formula>$D$14</formula>
    </cfRule>
  </conditionalFormatting>
  <conditionalFormatting sqref="D14">
    <cfRule type="cellIs" rank="0" priority="75" equalAverage="0" operator="lessThan" aboveAverage="0" dxfId="0" text="" percent="0" bottom="0">
      <formula>$E$14</formula>
    </cfRule>
  </conditionalFormatting>
  <conditionalFormatting sqref="E13">
    <cfRule type="cellIs" rank="0" priority="76" equalAverage="0" operator="lessThan" aboveAverage="0" dxfId="0" text="" percent="0" bottom="0">
      <formula>$D$13</formula>
    </cfRule>
  </conditionalFormatting>
  <conditionalFormatting sqref="D13">
    <cfRule type="cellIs" rank="0" priority="77" equalAverage="0" operator="lessThan" aboveAverage="0" dxfId="0" text="" percent="0" bottom="0">
      <formula>$E$13</formula>
    </cfRule>
  </conditionalFormatting>
  <conditionalFormatting sqref="E12">
    <cfRule type="cellIs" rank="0" priority="78" equalAverage="0" operator="lessThan" aboveAverage="0" dxfId="0" text="" percent="0" bottom="0">
      <formula>$D$12</formula>
    </cfRule>
  </conditionalFormatting>
  <conditionalFormatting sqref="D12">
    <cfRule type="cellIs" rank="0" priority="79" equalAverage="0" operator="lessThan" aboveAverage="0" dxfId="0" text="" percent="0" bottom="0">
      <formula>$E$12</formula>
    </cfRule>
  </conditionalFormatting>
  <conditionalFormatting sqref="E11">
    <cfRule type="cellIs" rank="0" priority="80" equalAverage="0" operator="lessThan" aboveAverage="0" dxfId="0" text="" percent="0" bottom="0">
      <formula>$D$11</formula>
    </cfRule>
  </conditionalFormatting>
  <conditionalFormatting sqref="D11">
    <cfRule type="cellIs" rank="0" priority="81" equalAverage="0" operator="lessThan" aboveAverage="0" dxfId="0" text="" percent="0" bottom="0">
      <formula>$E$11</formula>
    </cfRule>
  </conditionalFormatting>
  <conditionalFormatting sqref="E10">
    <cfRule type="cellIs" rank="0" priority="82" equalAverage="0" operator="lessThan" aboveAverage="0" dxfId="0" text="" percent="0" bottom="0">
      <formula>$D$10</formula>
    </cfRule>
  </conditionalFormatting>
  <conditionalFormatting sqref="D10">
    <cfRule type="cellIs" rank="0" priority="83" equalAverage="0" operator="lessThan" aboveAverage="0" dxfId="0" text="" percent="0" bottom="0">
      <formula>$E$10</formula>
    </cfRule>
  </conditionalFormatting>
  <conditionalFormatting sqref="E9">
    <cfRule type="cellIs" rank="0" priority="84" equalAverage="0" operator="lessThan" aboveAverage="0" dxfId="0" text="" percent="0" bottom="0">
      <formula>$D$9</formula>
    </cfRule>
  </conditionalFormatting>
  <conditionalFormatting sqref="D9">
    <cfRule type="cellIs" rank="0" priority="85" equalAverage="0" operator="lessThan" aboveAverage="0" dxfId="0" text="" percent="0" bottom="0">
      <formula>$E$9</formula>
    </cfRule>
  </conditionalFormatting>
  <conditionalFormatting sqref="E8">
    <cfRule type="cellIs" rank="0" priority="86" equalAverage="0" operator="lessThan" aboveAverage="0" dxfId="0" text="" percent="0" bottom="0">
      <formula>$D$8</formula>
    </cfRule>
  </conditionalFormatting>
  <conditionalFormatting sqref="D8">
    <cfRule type="cellIs" rank="0" priority="87" equalAverage="0" operator="lessThan" aboveAverage="0" dxfId="0" text="" percent="0" bottom="0">
      <formula>$E$8</formula>
    </cfRule>
  </conditionalFormatting>
  <conditionalFormatting sqref="E7">
    <cfRule type="cellIs" rank="0" priority="88" equalAverage="0" operator="lessThan" aboveAverage="0" dxfId="0" text="" percent="0" bottom="0">
      <formula>$D$7</formula>
    </cfRule>
  </conditionalFormatting>
  <conditionalFormatting sqref="D7">
    <cfRule type="cellIs" rank="0" priority="89" equalAverage="0" operator="lessThan" aboveAverage="0" dxfId="0" text="" percent="0" bottom="0">
      <formula>$E$7</formula>
    </cfRule>
  </conditionalFormatting>
  <conditionalFormatting sqref="E6">
    <cfRule type="cellIs" rank="0" priority="90" equalAverage="0" operator="lessThan" aboveAverage="0" dxfId="0" text="" percent="0" bottom="0">
      <formula>$D$6</formula>
    </cfRule>
  </conditionalFormatting>
  <conditionalFormatting sqref="D6">
    <cfRule type="cellIs" rank="0" priority="91" equalAverage="0" operator="lessThan" aboveAverage="0" dxfId="0" text="" percent="0" bottom="0">
      <formula>$E$6</formula>
    </cfRule>
  </conditionalFormatting>
  <conditionalFormatting sqref="E5">
    <cfRule type="cellIs" rank="0" priority="92" equalAverage="0" operator="lessThan" aboveAverage="0" dxfId="0" text="" percent="0" bottom="0">
      <formula>$D$5</formula>
    </cfRule>
  </conditionalFormatting>
  <conditionalFormatting sqref="D5">
    <cfRule type="cellIs" rank="0" priority="93" equalAverage="0" operator="lessThan" aboveAverage="0" dxfId="0" text="" percent="0" bottom="0">
      <formula>$E$5</formula>
    </cfRule>
  </conditionalFormatting>
  <conditionalFormatting sqref="E4">
    <cfRule type="cellIs" rank="0" priority="94" equalAverage="0" operator="lessThan" aboveAverage="0" dxfId="0" text="" percent="0" bottom="0">
      <formula>$D$4</formula>
    </cfRule>
  </conditionalFormatting>
  <conditionalFormatting sqref="D4">
    <cfRule type="cellIs" rank="0" priority="95" equalAverage="0" operator="lessThan" aboveAverage="0" dxfId="0" text="" percent="0" bottom="0">
      <formula>$E$4</formula>
    </cfRule>
  </conditionalFormatting>
  <conditionalFormatting sqref="C50">
    <cfRule type="cellIs" rank="0" priority="96" equalAverage="0" operator="lessThan" aboveAverage="0" dxfId="0" text="" percent="0" bottom="0">
      <formula>$B$50</formula>
    </cfRule>
  </conditionalFormatting>
  <conditionalFormatting sqref="B50">
    <cfRule type="cellIs" rank="0" priority="97" equalAverage="0" operator="lessThan" aboveAverage="0" dxfId="0" text="" percent="0" bottom="0">
      <formula>$C$50</formula>
    </cfRule>
  </conditionalFormatting>
  <conditionalFormatting sqref="C49">
    <cfRule type="cellIs" rank="0" priority="98" equalAverage="0" operator="lessThan" aboveAverage="0" dxfId="0" text="" percent="0" bottom="0">
      <formula>$B$49</formula>
    </cfRule>
  </conditionalFormatting>
  <conditionalFormatting sqref="B49">
    <cfRule type="cellIs" rank="0" priority="99" equalAverage="0" operator="lessThan" aboveAverage="0" dxfId="0" text="" percent="0" bottom="0">
      <formula>$C$49</formula>
    </cfRule>
  </conditionalFormatting>
  <conditionalFormatting sqref="C48">
    <cfRule type="cellIs" rank="0" priority="100" equalAverage="0" operator="lessThan" aboveAverage="0" dxfId="0" text="" percent="0" bottom="0">
      <formula>$B$48</formula>
    </cfRule>
  </conditionalFormatting>
  <conditionalFormatting sqref="B48">
    <cfRule type="cellIs" rank="0" priority="101" equalAverage="0" operator="lessThan" aboveAverage="0" dxfId="0" text="" percent="0" bottom="0">
      <formula>$C$48</formula>
    </cfRule>
  </conditionalFormatting>
  <conditionalFormatting sqref="C47">
    <cfRule type="cellIs" rank="0" priority="102" equalAverage="0" operator="lessThan" aboveAverage="0" dxfId="0" text="" percent="0" bottom="0">
      <formula>$B$47</formula>
    </cfRule>
  </conditionalFormatting>
  <conditionalFormatting sqref="B47">
    <cfRule type="cellIs" rank="0" priority="103" equalAverage="0" operator="lessThan" aboveAverage="0" dxfId="0" text="" percent="0" bottom="0">
      <formula>$C$47</formula>
    </cfRule>
  </conditionalFormatting>
  <conditionalFormatting sqref="C46">
    <cfRule type="cellIs" rank="0" priority="104" equalAverage="0" operator="lessThan" aboveAverage="0" dxfId="0" text="" percent="0" bottom="0">
      <formula>$B$46</formula>
    </cfRule>
  </conditionalFormatting>
  <conditionalFormatting sqref="B46">
    <cfRule type="cellIs" rank="0" priority="105" equalAverage="0" operator="lessThan" aboveAverage="0" dxfId="0" text="" percent="0" bottom="0">
      <formula>$C$46</formula>
    </cfRule>
  </conditionalFormatting>
  <conditionalFormatting sqref="C45">
    <cfRule type="cellIs" rank="0" priority="106" equalAverage="0" operator="lessThan" aboveAverage="0" dxfId="0" text="" percent="0" bottom="0">
      <formula>$B$45</formula>
    </cfRule>
  </conditionalFormatting>
  <conditionalFormatting sqref="B45">
    <cfRule type="cellIs" rank="0" priority="107" equalAverage="0" operator="lessThan" aboveAverage="0" dxfId="0" text="" percent="0" bottom="0">
      <formula>$C$45</formula>
    </cfRule>
  </conditionalFormatting>
  <conditionalFormatting sqref="C44">
    <cfRule type="cellIs" rank="0" priority="108" equalAverage="0" operator="lessThan" aboveAverage="0" dxfId="0" text="" percent="0" bottom="0">
      <formula>$B$44</formula>
    </cfRule>
  </conditionalFormatting>
  <conditionalFormatting sqref="B44">
    <cfRule type="cellIs" rank="0" priority="109" equalAverage="0" operator="lessThan" aboveAverage="0" dxfId="0" text="" percent="0" bottom="0">
      <formula>$C$44</formula>
    </cfRule>
  </conditionalFormatting>
  <conditionalFormatting sqref="C43">
    <cfRule type="cellIs" rank="0" priority="110" equalAverage="0" operator="lessThan" aboveAverage="0" dxfId="0" text="" percent="0" bottom="0">
      <formula>$B$43</formula>
    </cfRule>
  </conditionalFormatting>
  <conditionalFormatting sqref="B43">
    <cfRule type="cellIs" rank="0" priority="111" equalAverage="0" operator="lessThan" aboveAverage="0" dxfId="0" text="" percent="0" bottom="0">
      <formula>$C$43</formula>
    </cfRule>
  </conditionalFormatting>
  <conditionalFormatting sqref="C42">
    <cfRule type="cellIs" rank="0" priority="112" equalAverage="0" operator="lessThan" aboveAverage="0" dxfId="0" text="" percent="0" bottom="0">
      <formula>$B$42</formula>
    </cfRule>
  </conditionalFormatting>
  <conditionalFormatting sqref="B42">
    <cfRule type="cellIs" rank="0" priority="113" equalAverage="0" operator="lessThan" aboveAverage="0" dxfId="0" text="" percent="0" bottom="0">
      <formula>$C$42</formula>
    </cfRule>
  </conditionalFormatting>
  <conditionalFormatting sqref="C41">
    <cfRule type="cellIs" rank="0" priority="114" equalAverage="0" operator="lessThan" aboveAverage="0" dxfId="0" text="" percent="0" bottom="0">
      <formula>$B$41</formula>
    </cfRule>
  </conditionalFormatting>
  <conditionalFormatting sqref="B41">
    <cfRule type="cellIs" rank="0" priority="115" equalAverage="0" operator="lessThan" aboveAverage="0" dxfId="0" text="" percent="0" bottom="0">
      <formula>$C$41</formula>
    </cfRule>
  </conditionalFormatting>
  <conditionalFormatting sqref="C40">
    <cfRule type="cellIs" rank="0" priority="116" equalAverage="0" operator="lessThan" aboveAverage="0" dxfId="0" text="" percent="0" bottom="0">
      <formula>$B$40</formula>
    </cfRule>
  </conditionalFormatting>
  <conditionalFormatting sqref="B40">
    <cfRule type="cellIs" rank="0" priority="117" equalAverage="0" operator="lessThan" aboveAverage="0" dxfId="0" text="" percent="0" bottom="0">
      <formula>$C$40</formula>
    </cfRule>
  </conditionalFormatting>
  <conditionalFormatting sqref="C39">
    <cfRule type="cellIs" rank="0" priority="118" equalAverage="0" operator="lessThan" aboveAverage="0" dxfId="0" text="" percent="0" bottom="0">
      <formula>$B$39</formula>
    </cfRule>
  </conditionalFormatting>
  <conditionalFormatting sqref="B39">
    <cfRule type="cellIs" rank="0" priority="119" equalAverage="0" operator="lessThan" aboveAverage="0" dxfId="0" text="" percent="0" bottom="0">
      <formula>$C$39</formula>
    </cfRule>
  </conditionalFormatting>
  <conditionalFormatting sqref="C38">
    <cfRule type="cellIs" rank="0" priority="120" equalAverage="0" operator="lessThan" aboveAverage="0" dxfId="0" text="" percent="0" bottom="0">
      <formula>$B$38</formula>
    </cfRule>
  </conditionalFormatting>
  <conditionalFormatting sqref="B38">
    <cfRule type="cellIs" rank="0" priority="121" equalAverage="0" operator="lessThan" aboveAverage="0" dxfId="0" text="" percent="0" bottom="0">
      <formula>$C$38</formula>
    </cfRule>
  </conditionalFormatting>
  <conditionalFormatting sqref="C37">
    <cfRule type="cellIs" rank="0" priority="122" equalAverage="0" operator="lessThan" aboveAverage="0" dxfId="0" text="" percent="0" bottom="0">
      <formula>$B$37</formula>
    </cfRule>
  </conditionalFormatting>
  <conditionalFormatting sqref="B37">
    <cfRule type="cellIs" rank="0" priority="123" equalAverage="0" operator="lessThan" aboveAverage="0" dxfId="0" text="" percent="0" bottom="0">
      <formula>$C$37</formula>
    </cfRule>
  </conditionalFormatting>
  <conditionalFormatting sqref="C36">
    <cfRule type="cellIs" rank="0" priority="124" equalAverage="0" operator="lessThan" aboveAverage="0" dxfId="0" text="" percent="0" bottom="0">
      <formula>$B$36</formula>
    </cfRule>
  </conditionalFormatting>
  <conditionalFormatting sqref="B36">
    <cfRule type="cellIs" rank="0" priority="125" equalAverage="0" operator="lessThan" aboveAverage="0" dxfId="0" text="" percent="0" bottom="0">
      <formula>$C$36</formula>
    </cfRule>
  </conditionalFormatting>
  <conditionalFormatting sqref="C35">
    <cfRule type="cellIs" rank="0" priority="126" equalAverage="0" operator="lessThan" aboveAverage="0" dxfId="0" text="" percent="0" bottom="0">
      <formula>$B$35</formula>
    </cfRule>
  </conditionalFormatting>
  <conditionalFormatting sqref="B35">
    <cfRule type="cellIs" rank="0" priority="127" equalAverage="0" operator="lessThan" aboveAverage="0" dxfId="0" text="" percent="0" bottom="0">
      <formula>$C$35</formula>
    </cfRule>
  </conditionalFormatting>
  <conditionalFormatting sqref="C34">
    <cfRule type="cellIs" rank="0" priority="128" equalAverage="0" operator="lessThan" aboveAverage="0" dxfId="0" text="" percent="0" bottom="0">
      <formula>$B$34</formula>
    </cfRule>
  </conditionalFormatting>
  <conditionalFormatting sqref="B34">
    <cfRule type="cellIs" rank="0" priority="129" equalAverage="0" operator="lessThan" aboveAverage="0" dxfId="0" text="" percent="0" bottom="0">
      <formula>$C$34</formula>
    </cfRule>
  </conditionalFormatting>
  <conditionalFormatting sqref="C33">
    <cfRule type="cellIs" rank="0" priority="130" equalAverage="0" operator="lessThan" aboveAverage="0" dxfId="0" text="" percent="0" bottom="0">
      <formula>$B$33</formula>
    </cfRule>
  </conditionalFormatting>
  <conditionalFormatting sqref="B33">
    <cfRule type="cellIs" rank="0" priority="131" equalAverage="0" operator="lessThan" aboveAverage="0" dxfId="0" text="" percent="0" bottom="0">
      <formula>$C$33</formula>
    </cfRule>
  </conditionalFormatting>
  <conditionalFormatting sqref="C32">
    <cfRule type="cellIs" rank="0" priority="132" equalAverage="0" operator="lessThan" aboveAverage="0" dxfId="0" text="" percent="0" bottom="0">
      <formula>$B$32</formula>
    </cfRule>
  </conditionalFormatting>
  <conditionalFormatting sqref="B32">
    <cfRule type="cellIs" rank="0" priority="133" equalAverage="0" operator="lessThan" aboveAverage="0" dxfId="0" text="" percent="0" bottom="0">
      <formula>$C$32</formula>
    </cfRule>
  </conditionalFormatting>
  <conditionalFormatting sqref="C31">
    <cfRule type="cellIs" rank="0" priority="134" equalAverage="0" operator="lessThan" aboveAverage="0" dxfId="0" text="" percent="0" bottom="0">
      <formula>$B$31</formula>
    </cfRule>
  </conditionalFormatting>
  <conditionalFormatting sqref="B31">
    <cfRule type="cellIs" rank="0" priority="135" equalAverage="0" operator="lessThan" aboveAverage="0" dxfId="0" text="" percent="0" bottom="0">
      <formula>$C$31</formula>
    </cfRule>
  </conditionalFormatting>
  <conditionalFormatting sqref="C30">
    <cfRule type="cellIs" rank="0" priority="136" equalAverage="0" operator="lessThan" aboveAverage="0" dxfId="0" text="" percent="0" bottom="0">
      <formula>$B$30</formula>
    </cfRule>
  </conditionalFormatting>
  <conditionalFormatting sqref="B30">
    <cfRule type="cellIs" rank="0" priority="137" equalAverage="0" operator="lessThan" aboveAverage="0" dxfId="0" text="" percent="0" bottom="0">
      <formula>$C$30</formula>
    </cfRule>
  </conditionalFormatting>
  <conditionalFormatting sqref="C29">
    <cfRule type="cellIs" rank="0" priority="138" equalAverage="0" operator="lessThan" aboveAverage="0" dxfId="0" text="" percent="0" bottom="0">
      <formula>$B$29</formula>
    </cfRule>
  </conditionalFormatting>
  <conditionalFormatting sqref="B29">
    <cfRule type="cellIs" rank="0" priority="139" equalAverage="0" operator="lessThan" aboveAverage="0" dxfId="0" text="" percent="0" bottom="0">
      <formula>$C$29</formula>
    </cfRule>
  </conditionalFormatting>
  <conditionalFormatting sqref="C28">
    <cfRule type="cellIs" rank="0" priority="140" equalAverage="0" operator="lessThan" aboveAverage="0" dxfId="0" text="" percent="0" bottom="0">
      <formula>$B$28</formula>
    </cfRule>
  </conditionalFormatting>
  <conditionalFormatting sqref="B28">
    <cfRule type="cellIs" rank="0" priority="141" equalAverage="0" operator="lessThan" aboveAverage="0" dxfId="0" text="" percent="0" bottom="0">
      <formula>$C$28</formula>
    </cfRule>
  </conditionalFormatting>
  <conditionalFormatting sqref="C27">
    <cfRule type="cellIs" rank="0" priority="142" equalAverage="0" operator="lessThan" aboveAverage="0" dxfId="0" text="" percent="0" bottom="0">
      <formula>$B$27</formula>
    </cfRule>
  </conditionalFormatting>
  <conditionalFormatting sqref="B27">
    <cfRule type="cellIs" rank="0" priority="143" equalAverage="0" operator="lessThan" aboveAverage="0" dxfId="0" text="" percent="0" bottom="0">
      <formula>$C$27</formula>
    </cfRule>
  </conditionalFormatting>
  <conditionalFormatting sqref="C26">
    <cfRule type="cellIs" rank="0" priority="144" equalAverage="0" operator="lessThan" aboveAverage="0" dxfId="0" text="" percent="0" bottom="0">
      <formula>$B$26</formula>
    </cfRule>
  </conditionalFormatting>
  <conditionalFormatting sqref="B26">
    <cfRule type="cellIs" rank="0" priority="145" equalAverage="0" operator="lessThan" aboveAverage="0" dxfId="0" text="" percent="0" bottom="0">
      <formula>$C$26</formula>
    </cfRule>
  </conditionalFormatting>
  <conditionalFormatting sqref="C25">
    <cfRule type="cellIs" rank="0" priority="146" equalAverage="0" operator="lessThan" aboveAverage="0" dxfId="0" text="" percent="0" bottom="0">
      <formula>$B$25</formula>
    </cfRule>
  </conditionalFormatting>
  <conditionalFormatting sqref="B25">
    <cfRule type="cellIs" rank="0" priority="147" equalAverage="0" operator="lessThan" aboveAverage="0" dxfId="0" text="" percent="0" bottom="0">
      <formula>$C$25</formula>
    </cfRule>
  </conditionalFormatting>
  <conditionalFormatting sqref="C24">
    <cfRule type="cellIs" rank="0" priority="148" equalAverage="0" operator="lessThan" aboveAverage="0" dxfId="0" text="" percent="0" bottom="0">
      <formula>$B$24</formula>
    </cfRule>
  </conditionalFormatting>
  <conditionalFormatting sqref="B24">
    <cfRule type="cellIs" rank="0" priority="149" equalAverage="0" operator="lessThan" aboveAverage="0" dxfId="0" text="" percent="0" bottom="0">
      <formula>$C$24</formula>
    </cfRule>
  </conditionalFormatting>
  <conditionalFormatting sqref="C23">
    <cfRule type="cellIs" rank="0" priority="150" equalAverage="0" operator="lessThan" aboveAverage="0" dxfId="0" text="" percent="0" bottom="0">
      <formula>$B$23</formula>
    </cfRule>
  </conditionalFormatting>
  <conditionalFormatting sqref="B23">
    <cfRule type="cellIs" rank="0" priority="151" equalAverage="0" operator="lessThan" aboveAverage="0" dxfId="0" text="" percent="0" bottom="0">
      <formula>$C$23</formula>
    </cfRule>
  </conditionalFormatting>
  <conditionalFormatting sqref="C22">
    <cfRule type="cellIs" rank="0" priority="152" equalAverage="0" operator="lessThan" aboveAverage="0" dxfId="0" text="" percent="0" bottom="0">
      <formula>$B$22</formula>
    </cfRule>
  </conditionalFormatting>
  <conditionalFormatting sqref="B22">
    <cfRule type="cellIs" rank="0" priority="153" equalAverage="0" operator="lessThan" aboveAverage="0" dxfId="0" text="" percent="0" bottom="0">
      <formula>$C$22</formula>
    </cfRule>
  </conditionalFormatting>
  <conditionalFormatting sqref="C21">
    <cfRule type="cellIs" rank="0" priority="154" equalAverage="0" operator="lessThan" aboveAverage="0" dxfId="0" text="" percent="0" bottom="0">
      <formula>$B$21</formula>
    </cfRule>
  </conditionalFormatting>
  <conditionalFormatting sqref="B21">
    <cfRule type="cellIs" rank="0" priority="155" equalAverage="0" operator="lessThan" aboveAverage="0" dxfId="0" text="" percent="0" bottom="0">
      <formula>$C$21</formula>
    </cfRule>
  </conditionalFormatting>
  <conditionalFormatting sqref="C20">
    <cfRule type="cellIs" rank="0" priority="156" equalAverage="0" operator="lessThan" aboveAverage="0" dxfId="0" text="" percent="0" bottom="0">
      <formula>$B$20</formula>
    </cfRule>
  </conditionalFormatting>
  <conditionalFormatting sqref="B20">
    <cfRule type="cellIs" rank="0" priority="157" equalAverage="0" operator="lessThan" aboveAverage="0" dxfId="0" text="" percent="0" bottom="0">
      <formula>$C$20</formula>
    </cfRule>
  </conditionalFormatting>
  <conditionalFormatting sqref="B19">
    <cfRule type="cellIs" rank="0" priority="158" equalAverage="0" operator="lessThan" aboveAverage="0" dxfId="0" text="" percent="0" bottom="0">
      <formula>$C$19</formula>
    </cfRule>
  </conditionalFormatting>
  <conditionalFormatting sqref="C19">
    <cfRule type="cellIs" rank="0" priority="159" equalAverage="0" operator="lessThan" aboveAverage="0" dxfId="0" text="" percent="0" bottom="0">
      <formula>$B$19</formula>
    </cfRule>
  </conditionalFormatting>
  <conditionalFormatting sqref="C18">
    <cfRule type="cellIs" rank="0" priority="160" equalAverage="0" operator="lessThan" aboveAverage="0" dxfId="0" text="" percent="0" bottom="0">
      <formula>$B$18</formula>
    </cfRule>
  </conditionalFormatting>
  <conditionalFormatting sqref="B18">
    <cfRule type="cellIs" rank="0" priority="161" equalAverage="0" operator="lessThan" aboveAverage="0" dxfId="0" text="" percent="0" bottom="0">
      <formula>$C$18</formula>
    </cfRule>
  </conditionalFormatting>
  <conditionalFormatting sqref="C17">
    <cfRule type="cellIs" rank="0" priority="162" equalAverage="0" operator="lessThan" aboveAverage="0" dxfId="0" text="" percent="0" bottom="0">
      <formula>$B$17</formula>
    </cfRule>
  </conditionalFormatting>
  <conditionalFormatting sqref="B17">
    <cfRule type="cellIs" rank="0" priority="163" equalAverage="0" operator="lessThan" aboveAverage="0" dxfId="0" text="" percent="0" bottom="0">
      <formula>$C$17</formula>
    </cfRule>
  </conditionalFormatting>
  <conditionalFormatting sqref="C16">
    <cfRule type="cellIs" rank="0" priority="164" equalAverage="0" operator="lessThan" aboveAverage="0" dxfId="0" text="" percent="0" bottom="0">
      <formula>$B$16</formula>
    </cfRule>
  </conditionalFormatting>
  <conditionalFormatting sqref="B16">
    <cfRule type="cellIs" rank="0" priority="165" equalAverage="0" operator="lessThan" aboveAverage="0" dxfId="0" text="" percent="0" bottom="0">
      <formula>$C$16</formula>
    </cfRule>
  </conditionalFormatting>
  <conditionalFormatting sqref="C15">
    <cfRule type="cellIs" rank="0" priority="166" equalAverage="0" operator="lessThan" aboveAverage="0" dxfId="0" text="" percent="0" bottom="0">
      <formula>$B$15</formula>
    </cfRule>
  </conditionalFormatting>
  <conditionalFormatting sqref="B15">
    <cfRule type="cellIs" rank="0" priority="167" equalAverage="0" operator="lessThan" aboveAverage="0" dxfId="0" text="" percent="0" bottom="0">
      <formula>$C$15</formula>
    </cfRule>
  </conditionalFormatting>
  <conditionalFormatting sqref="C14">
    <cfRule type="cellIs" rank="0" priority="168" equalAverage="0" operator="lessThan" aboveAverage="0" dxfId="0" text="" percent="0" bottom="0">
      <formula>$B$14</formula>
    </cfRule>
  </conditionalFormatting>
  <conditionalFormatting sqref="B14">
    <cfRule type="cellIs" rank="0" priority="169" equalAverage="0" operator="lessThan" aboveAverage="0" dxfId="0" text="" percent="0" bottom="0">
      <formula>$C$14</formula>
    </cfRule>
  </conditionalFormatting>
  <conditionalFormatting sqref="C13">
    <cfRule type="cellIs" rank="0" priority="170" equalAverage="0" operator="lessThan" aboveAverage="0" dxfId="0" text="" percent="0" bottom="0">
      <formula>$B$13</formula>
    </cfRule>
  </conditionalFormatting>
  <conditionalFormatting sqref="B13">
    <cfRule type="cellIs" rank="0" priority="171" equalAverage="0" operator="lessThan" aboveAverage="0" dxfId="0" text="" percent="0" bottom="0">
      <formula>$C$13</formula>
    </cfRule>
  </conditionalFormatting>
  <conditionalFormatting sqref="C12">
    <cfRule type="cellIs" rank="0" priority="172" equalAverage="0" operator="lessThan" aboveAverage="0" dxfId="0" text="" percent="0" bottom="0">
      <formula>$B$12</formula>
    </cfRule>
  </conditionalFormatting>
  <conditionalFormatting sqref="B12">
    <cfRule type="cellIs" rank="0" priority="173" equalAverage="0" operator="lessThan" aboveAverage="0" dxfId="0" text="" percent="0" bottom="0">
      <formula>$C$12</formula>
    </cfRule>
  </conditionalFormatting>
  <conditionalFormatting sqref="C11">
    <cfRule type="cellIs" rank="0" priority="174" equalAverage="0" operator="lessThan" aboveAverage="0" dxfId="0" text="" percent="0" bottom="0">
      <formula>$B$11</formula>
    </cfRule>
  </conditionalFormatting>
  <conditionalFormatting sqref="B11">
    <cfRule type="cellIs" rank="0" priority="175" equalAverage="0" operator="lessThan" aboveAverage="0" dxfId="0" text="" percent="0" bottom="0">
      <formula>$C$11</formula>
    </cfRule>
  </conditionalFormatting>
  <conditionalFormatting sqref="C10">
    <cfRule type="cellIs" rank="0" priority="176" equalAverage="0" operator="lessThan" aboveAverage="0" dxfId="0" text="" percent="0" bottom="0">
      <formula>$B$10</formula>
    </cfRule>
  </conditionalFormatting>
  <conditionalFormatting sqref="B10">
    <cfRule type="cellIs" rank="0" priority="177" equalAverage="0" operator="lessThan" aboveAverage="0" dxfId="0" text="" percent="0" bottom="0">
      <formula>$C$10</formula>
    </cfRule>
  </conditionalFormatting>
  <conditionalFormatting sqref="C9">
    <cfRule type="cellIs" rank="0" priority="178" equalAverage="0" operator="lessThan" aboveAverage="0" dxfId="0" text="" percent="0" bottom="0">
      <formula>$B$9</formula>
    </cfRule>
  </conditionalFormatting>
  <conditionalFormatting sqref="B9">
    <cfRule type="cellIs" rank="0" priority="179" equalAverage="0" operator="lessThan" aboveAverage="0" dxfId="0" text="" percent="0" bottom="0">
      <formula>$C$9</formula>
    </cfRule>
  </conditionalFormatting>
  <conditionalFormatting sqref="C8">
    <cfRule type="cellIs" rank="0" priority="180" equalAverage="0" operator="lessThan" aboveAverage="0" dxfId="0" text="" percent="0" bottom="0">
      <formula>$B$8</formula>
    </cfRule>
  </conditionalFormatting>
  <conditionalFormatting sqref="B8">
    <cfRule type="cellIs" rank="0" priority="181" equalAverage="0" operator="lessThan" aboveAverage="0" dxfId="0" text="" percent="0" bottom="0">
      <formula>$C$8</formula>
    </cfRule>
  </conditionalFormatting>
  <conditionalFormatting sqref="C7">
    <cfRule type="cellIs" rank="0" priority="182" equalAverage="0" operator="lessThan" aboveAverage="0" dxfId="0" text="" percent="0" bottom="0">
      <formula>$B$7</formula>
    </cfRule>
  </conditionalFormatting>
  <conditionalFormatting sqref="B7">
    <cfRule type="cellIs" rank="0" priority="183" equalAverage="0" operator="lessThan" aboveAverage="0" dxfId="0" text="" percent="0" bottom="0">
      <formula>$C$7</formula>
    </cfRule>
  </conditionalFormatting>
  <conditionalFormatting sqref="C6">
    <cfRule type="cellIs" rank="0" priority="184" equalAverage="0" operator="lessThan" aboveAverage="0" dxfId="0" text="" percent="0" bottom="0">
      <formula>$B$6</formula>
    </cfRule>
  </conditionalFormatting>
  <conditionalFormatting sqref="B6">
    <cfRule type="cellIs" rank="0" priority="185" equalAverage="0" operator="lessThan" aboveAverage="0" dxfId="0" text="" percent="0" bottom="0">
      <formula>$C$6</formula>
    </cfRule>
  </conditionalFormatting>
  <conditionalFormatting sqref="C5">
    <cfRule type="cellIs" rank="0" priority="186" equalAverage="0" operator="lessThan" aboveAverage="0" dxfId="0" text="" percent="0" bottom="0">
      <formula>$B$5</formula>
    </cfRule>
  </conditionalFormatting>
  <conditionalFormatting sqref="B5">
    <cfRule type="cellIs" rank="0" priority="187" equalAverage="0" operator="lessThan" aboveAverage="0" dxfId="0" text="" percent="0" bottom="0">
      <formula>$C$5</formula>
    </cfRule>
  </conditionalFormatting>
  <conditionalFormatting sqref="C4">
    <cfRule type="cellIs" rank="0" priority="188" equalAverage="0" operator="lessThan" aboveAverage="0" dxfId="0" text="" percent="0" bottom="0">
      <formula>$B$4</formula>
    </cfRule>
  </conditionalFormatting>
  <conditionalFormatting sqref="B4">
    <cfRule type="cellIs" rank="0" priority="189" equalAverage="0" operator="lessThan" aboveAverage="0" dxfId="0" text="" percent="0" bottom="0">
      <formula>$C$4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R51"/>
  <sheetViews>
    <sheetView workbookViewId="0">
      <selection activeCell="A1" sqref="A1"/>
    </sheetView>
  </sheetViews>
  <sheetFormatPr baseColWidth="8" defaultColWidth="10.6796875" defaultRowHeight="15" customHeight="0" zeroHeight="0" outlineLevelRow="0"/>
  <sheetData>
    <row r="1" ht="15" customHeight="1" s="6">
      <c r="A1" s="7" t="n"/>
      <c r="B1" s="8">
        <f>AVERAGE(B4:B38)</f>
        <v/>
      </c>
      <c r="C1" s="8">
        <f>AVERAGE(C4:C30)</f>
        <v/>
      </c>
      <c r="D1" s="8">
        <f>AVERAGE(D4:D60)</f>
        <v/>
      </c>
      <c r="E1" s="8">
        <f>AVERAGE(E4:E60)</f>
        <v/>
      </c>
      <c r="F1" s="7">
        <f>SUM(F4:F50)</f>
        <v/>
      </c>
      <c r="G1" s="7">
        <f>D1-E1</f>
        <v/>
      </c>
    </row>
    <row r="2" ht="15" customHeight="1" s="6">
      <c r="A2" s="9" t="inlineStr">
        <is>
          <t>Produit</t>
        </is>
      </c>
      <c r="B2" s="9" t="inlineStr">
        <is>
          <t>PA base</t>
        </is>
      </c>
      <c r="C2" s="9" t="inlineStr">
        <is>
          <t>PA direct</t>
        </is>
      </c>
      <c r="D2" s="9" t="inlineStr">
        <is>
          <t>PV préco base</t>
        </is>
      </c>
      <c r="E2" s="9" t="inlineStr">
        <is>
          <t>PV magasin</t>
        </is>
      </c>
      <c r="F2" s="9" t="inlineStr">
        <is>
          <t>Quantité</t>
        </is>
      </c>
      <c r="G2" s="10" t="inlineStr">
        <is>
          <t>Marge servi base</t>
        </is>
      </c>
      <c r="H2" s="10" t="inlineStr">
        <is>
          <t>Marge servi direct</t>
        </is>
      </c>
      <c r="I2" s="11" t="inlineStr">
        <is>
          <t>Marge servi Direct</t>
        </is>
      </c>
      <c r="J2" s="11" t="n"/>
      <c r="K2" s="11" t="n"/>
      <c r="L2" s="11" t="n"/>
      <c r="M2" s="11" t="n"/>
      <c r="N2" s="11" t="inlineStr">
        <is>
          <t>Marge servi base</t>
        </is>
      </c>
      <c r="O2" s="11" t="n"/>
      <c r="P2" s="11" t="n"/>
      <c r="Q2" s="11" t="n"/>
      <c r="R2" s="11" t="n"/>
    </row>
    <row r="3" ht="15" customHeight="1" s="6">
      <c r="G3" s="8">
        <f>Q3/R3</f>
        <v/>
      </c>
      <c r="H3" s="8">
        <f>L3/M3</f>
        <v/>
      </c>
      <c r="I3" s="11">
        <f>SUM(I4:I50)</f>
        <v/>
      </c>
      <c r="J3" s="11">
        <f>SUM(J4:J50)</f>
        <v/>
      </c>
      <c r="K3" s="11">
        <f>SUM(K4:K50)</f>
        <v/>
      </c>
      <c r="L3" s="11">
        <f>SUM(L4:L50)</f>
        <v/>
      </c>
      <c r="M3" s="11">
        <f>SUM(M4:M50)</f>
        <v/>
      </c>
      <c r="N3" s="11">
        <f>SUM(N4:N50)</f>
        <v/>
      </c>
      <c r="O3" s="11">
        <f>SUM(O4:O50)</f>
        <v/>
      </c>
      <c r="P3" s="11">
        <f>SUM(P4:P50)</f>
        <v/>
      </c>
      <c r="Q3" s="11">
        <f>SUM(Q4:Q50)</f>
        <v/>
      </c>
      <c r="R3" s="11">
        <f>SUM(R4:R50)</f>
        <v/>
      </c>
    </row>
    <row r="4" ht="15" customHeight="1" s="6">
      <c r="A4" t="inlineStr">
        <is>
          <t>Poireau nv 20/30 10K c1 FR</t>
        </is>
      </c>
      <c r="C4" t="n">
        <v>2.59</v>
      </c>
      <c r="E4" t="n">
        <v>3.29</v>
      </c>
      <c r="F4" t="n">
        <v>10</v>
      </c>
      <c r="G4" s="7">
        <f>Q4/R4</f>
        <v/>
      </c>
      <c r="H4" s="7">
        <f>L4/M4</f>
        <v/>
      </c>
      <c r="I4" s="9">
        <f>E4/1.055</f>
        <v/>
      </c>
      <c r="J4" s="9">
        <f>I4-C4</f>
        <v/>
      </c>
      <c r="K4" s="9">
        <f>J4*F4</f>
        <v/>
      </c>
      <c r="L4" s="9">
        <f>K4*100</f>
        <v/>
      </c>
      <c r="M4" s="9">
        <f>E4*F4</f>
        <v/>
      </c>
      <c r="N4" s="9">
        <f>D4/1.055</f>
        <v/>
      </c>
      <c r="O4" s="9">
        <f>N4-B4</f>
        <v/>
      </c>
      <c r="P4" s="9">
        <f>O4*F4</f>
        <v/>
      </c>
      <c r="Q4" s="9">
        <f>P4*100</f>
        <v/>
      </c>
      <c r="R4" s="9">
        <f>D4*F4</f>
        <v/>
      </c>
    </row>
    <row r="5" ht="15" customHeight="1" s="6">
      <c r="A5" t="inlineStr">
        <is>
          <t>Poivron rouge 80/100 5K c1 MA</t>
        </is>
      </c>
      <c r="C5" t="n">
        <v>2.7</v>
      </c>
      <c r="E5" t="n">
        <v>4.99</v>
      </c>
      <c r="F5" t="n">
        <v>15</v>
      </c>
      <c r="G5" s="7">
        <f>Q5/R5</f>
        <v/>
      </c>
      <c r="H5" s="7">
        <f>L5/M5</f>
        <v/>
      </c>
      <c r="I5" s="9">
        <f>E5/1.055</f>
        <v/>
      </c>
      <c r="J5" s="9">
        <f>I5-C5</f>
        <v/>
      </c>
      <c r="K5" s="9">
        <f>J5*F5</f>
        <v/>
      </c>
      <c r="L5" s="9">
        <f>K5*100</f>
        <v/>
      </c>
      <c r="M5" s="9">
        <f>E5*F5</f>
        <v/>
      </c>
      <c r="N5" s="9">
        <f>D5/1.055</f>
        <v/>
      </c>
      <c r="O5" s="9">
        <f>N5-B5</f>
        <v/>
      </c>
      <c r="P5" s="9">
        <f>O5*F5</f>
        <v/>
      </c>
      <c r="Q5" s="9">
        <f>P5*100</f>
        <v/>
      </c>
      <c r="R5" s="9">
        <f>D5*F5</f>
        <v/>
      </c>
    </row>
    <row r="6" ht="15" customHeight="1" s="6">
      <c r="A6" t="inlineStr">
        <is>
          <t>Poivron jaune 80/100 5K c1 MA</t>
        </is>
      </c>
      <c r="C6" t="n">
        <v>3.19</v>
      </c>
      <c r="E6" t="n">
        <v>4.99</v>
      </c>
      <c r="F6" t="n">
        <v>5</v>
      </c>
      <c r="G6" s="7">
        <f>Q6/R6</f>
        <v/>
      </c>
      <c r="H6" s="7">
        <f>L6/M6</f>
        <v/>
      </c>
      <c r="I6" s="9">
        <f>E6/1.055</f>
        <v/>
      </c>
      <c r="J6" s="9">
        <f>I6-C6</f>
        <v/>
      </c>
      <c r="K6" s="9">
        <f>J6*F6</f>
        <v/>
      </c>
      <c r="L6" s="9">
        <f>K6*100</f>
        <v/>
      </c>
      <c r="M6" s="9">
        <f>E6*F6</f>
        <v/>
      </c>
      <c r="N6" s="9">
        <f>D6/1.055</f>
        <v/>
      </c>
      <c r="O6" s="9">
        <f>N6-B6</f>
        <v/>
      </c>
      <c r="P6" s="9">
        <f>O6*F6</f>
        <v/>
      </c>
      <c r="Q6" s="9">
        <f>P6*100</f>
        <v/>
      </c>
      <c r="R6" s="9">
        <f>D6*F6</f>
        <v/>
      </c>
    </row>
    <row r="7" ht="15" customHeight="1" s="6">
      <c r="A7" t="inlineStr">
        <is>
          <t>Sal feuille chene bld 12P c1 FR</t>
        </is>
      </c>
      <c r="C7" t="n">
        <v>1.4</v>
      </c>
      <c r="E7" t="n">
        <v>1.99</v>
      </c>
      <c r="F7" t="n">
        <v>36</v>
      </c>
      <c r="G7" s="7">
        <f>Q7/R7</f>
        <v/>
      </c>
      <c r="H7" s="7">
        <f>L7/M7</f>
        <v/>
      </c>
      <c r="I7" s="9">
        <f>E7/1.055</f>
        <v/>
      </c>
      <c r="J7" s="9">
        <f>I7-C7</f>
        <v/>
      </c>
      <c r="K7" s="9">
        <f>J7*F7</f>
        <v/>
      </c>
      <c r="L7" s="9">
        <f>K7*100</f>
        <v/>
      </c>
      <c r="M7" s="9">
        <f>E7*F7</f>
        <v/>
      </c>
      <c r="N7" s="9">
        <f>D7/1.055</f>
        <v/>
      </c>
      <c r="O7" s="9">
        <f>N7-B7</f>
        <v/>
      </c>
      <c r="P7" s="9">
        <f>O7*F7</f>
        <v/>
      </c>
      <c r="Q7" s="9">
        <f>P7*100</f>
        <v/>
      </c>
      <c r="R7" s="9">
        <f>D7*F7</f>
        <v/>
      </c>
    </row>
    <row r="8" ht="15" customHeight="1" s="6">
      <c r="A8" t="inlineStr">
        <is>
          <t>Avocat hass 165/196g pad 22F c1 KE</t>
        </is>
      </c>
      <c r="C8" t="n">
        <v>0.65</v>
      </c>
      <c r="E8" t="n">
        <v>1.29</v>
      </c>
      <c r="F8" t="n">
        <v>132</v>
      </c>
      <c r="G8" s="7">
        <f>Q8/R8</f>
        <v/>
      </c>
      <c r="H8" s="7">
        <f>L8/M8</f>
        <v/>
      </c>
      <c r="I8" s="9">
        <f>E8/1.055</f>
        <v/>
      </c>
      <c r="J8" s="9">
        <f>I8-C8</f>
        <v/>
      </c>
      <c r="K8" s="9">
        <f>J8*F8</f>
        <v/>
      </c>
      <c r="L8" s="9">
        <f>K8*100</f>
        <v/>
      </c>
      <c r="M8" s="9">
        <f>E8*F8</f>
        <v/>
      </c>
      <c r="N8" s="9">
        <f>D8/1.055</f>
        <v/>
      </c>
      <c r="O8" s="9">
        <f>N8-B8</f>
        <v/>
      </c>
      <c r="P8" s="9">
        <f>O8*F8</f>
        <v/>
      </c>
      <c r="Q8" s="9">
        <f>P8*100</f>
        <v/>
      </c>
      <c r="R8" s="9">
        <f>D8*F8</f>
        <v/>
      </c>
    </row>
    <row r="9" ht="15" customHeight="1" s="6">
      <c r="A9" t="inlineStr">
        <is>
          <t>Aubergine 300/500 5K c1 SLC</t>
        </is>
      </c>
      <c r="C9" t="n">
        <v>2.65</v>
      </c>
      <c r="E9" t="n">
        <v>3.99</v>
      </c>
      <c r="F9" t="n">
        <v>15</v>
      </c>
      <c r="G9" s="7">
        <f>Q9/R9</f>
        <v/>
      </c>
      <c r="H9" s="7">
        <f>L9/M9</f>
        <v/>
      </c>
      <c r="I9" s="9">
        <f>E9/1.055</f>
        <v/>
      </c>
      <c r="J9" s="9">
        <f>I9-C9</f>
        <v/>
      </c>
      <c r="K9" s="9">
        <f>J9*F9</f>
        <v/>
      </c>
      <c r="L9" s="9">
        <f>K9*100</f>
        <v/>
      </c>
      <c r="M9" s="9">
        <f>E9*F9</f>
        <v/>
      </c>
      <c r="N9" s="9">
        <f>D9/1.055</f>
        <v/>
      </c>
      <c r="O9" s="9">
        <f>N9-B9</f>
        <v/>
      </c>
      <c r="P9" s="9">
        <f>O9*F9</f>
        <v/>
      </c>
      <c r="Q9" s="9">
        <f>P9*100</f>
        <v/>
      </c>
      <c r="R9" s="9">
        <f>D9*F9</f>
        <v/>
      </c>
    </row>
    <row r="10" ht="15" customHeight="1" s="6">
      <c r="A10" t="inlineStr">
        <is>
          <t>Sal feuille chene rg 12P c1 SLC</t>
        </is>
      </c>
      <c r="C10" t="n">
        <v>1.4</v>
      </c>
      <c r="E10" t="n">
        <v>1.69</v>
      </c>
      <c r="F10" t="n">
        <v>24</v>
      </c>
      <c r="G10" s="7">
        <f>Q10/R10</f>
        <v/>
      </c>
      <c r="H10" s="7">
        <f>L10/M10</f>
        <v/>
      </c>
      <c r="I10" s="9">
        <f>E10/1.055</f>
        <v/>
      </c>
      <c r="J10" s="9">
        <f>I10-C10</f>
        <v/>
      </c>
      <c r="K10" s="9">
        <f>J10*F10</f>
        <v/>
      </c>
      <c r="L10" s="9">
        <f>K10*100</f>
        <v/>
      </c>
      <c r="M10" s="9">
        <f>E10*F10</f>
        <v/>
      </c>
      <c r="N10" s="9">
        <f>D10/1.055</f>
        <v/>
      </c>
      <c r="O10" s="9">
        <f>N10-B10</f>
        <v/>
      </c>
      <c r="P10" s="9">
        <f>O10*F10</f>
        <v/>
      </c>
      <c r="Q10" s="9">
        <f>P10*100</f>
        <v/>
      </c>
      <c r="R10" s="9">
        <f>D10*F10</f>
        <v/>
      </c>
    </row>
    <row r="11" ht="15" customHeight="1" s="6">
      <c r="A11" t="inlineStr">
        <is>
          <t>Sal batavia blonde 6P c1 SLC1</t>
        </is>
      </c>
      <c r="C11" t="n">
        <v>1.4</v>
      </c>
      <c r="E11" t="n">
        <v>1.99</v>
      </c>
      <c r="F11" t="n">
        <v>36</v>
      </c>
      <c r="G11" s="7">
        <f>Q11/R11</f>
        <v/>
      </c>
      <c r="H11" s="7">
        <f>L11/M11</f>
        <v/>
      </c>
      <c r="I11" s="9">
        <f>E11/1.055</f>
        <v/>
      </c>
      <c r="J11" s="9">
        <f>I11-C11</f>
        <v/>
      </c>
      <c r="K11" s="9">
        <f>J11*F11</f>
        <v/>
      </c>
      <c r="L11" s="9">
        <f>K11*100</f>
        <v/>
      </c>
      <c r="M11" s="9">
        <f>E11*F11</f>
        <v/>
      </c>
      <c r="N11" s="9">
        <f>D11/1.055</f>
        <v/>
      </c>
      <c r="O11" s="9">
        <f>N11-B11</f>
        <v/>
      </c>
      <c r="P11" s="9">
        <f>O11*F11</f>
        <v/>
      </c>
      <c r="Q11" s="9">
        <f>P11*100</f>
        <v/>
      </c>
      <c r="R11" s="9">
        <f>D11*F11</f>
        <v/>
      </c>
    </row>
    <row r="12" ht="15" customHeight="1" s="6">
      <c r="A12" t="inlineStr">
        <is>
          <t>Pom pinklady 170/200 1r60X40 ~8K c1 CL</t>
        </is>
      </c>
      <c r="C12" t="n">
        <v>2.75</v>
      </c>
      <c r="E12" t="n">
        <v>3.99</v>
      </c>
      <c r="F12" t="n">
        <v>13.45</v>
      </c>
      <c r="G12" s="7">
        <f>Q12/R12</f>
        <v/>
      </c>
      <c r="H12" s="7">
        <f>L12/M12</f>
        <v/>
      </c>
      <c r="I12" s="9">
        <f>E12/1.055</f>
        <v/>
      </c>
      <c r="J12" s="9">
        <f>I12-C12</f>
        <v/>
      </c>
      <c r="K12" s="9">
        <f>J12*F12</f>
        <v/>
      </c>
      <c r="L12" s="9">
        <f>K12*100</f>
        <v/>
      </c>
      <c r="M12" s="9">
        <f>E12*F12</f>
        <v/>
      </c>
      <c r="N12" s="9">
        <f>D12/1.055</f>
        <v/>
      </c>
      <c r="O12" s="9">
        <f>N12-B12</f>
        <v/>
      </c>
      <c r="P12" s="9">
        <f>O12*F12</f>
        <v/>
      </c>
      <c r="Q12" s="9">
        <f>P12*100</f>
        <v/>
      </c>
      <c r="R12" s="9">
        <f>D12*F12</f>
        <v/>
      </c>
    </row>
    <row r="13" ht="15" customHeight="1" s="6">
      <c r="A13" t="inlineStr">
        <is>
          <t>Poivron vert 80/100 plt 5K c1 SLC</t>
        </is>
      </c>
      <c r="C13" t="n">
        <v>2.6</v>
      </c>
      <c r="E13" t="n">
        <v>4.99</v>
      </c>
      <c r="F13" t="n">
        <v>5</v>
      </c>
      <c r="G13" s="7">
        <f>Q13/R13</f>
        <v/>
      </c>
      <c r="H13" s="7">
        <f>L13/M13</f>
        <v/>
      </c>
      <c r="I13" s="9">
        <f>E13/1.055</f>
        <v/>
      </c>
      <c r="J13" s="9">
        <f>I13-C13</f>
        <v/>
      </c>
      <c r="K13" s="9">
        <f>J13*F13</f>
        <v/>
      </c>
      <c r="L13" s="9">
        <f>K13*100</f>
        <v/>
      </c>
      <c r="M13" s="9">
        <f>E13*F13</f>
        <v/>
      </c>
      <c r="N13" s="9">
        <f>D13/1.055</f>
        <v/>
      </c>
      <c r="O13" s="9">
        <f>N13-B13</f>
        <v/>
      </c>
      <c r="P13" s="9">
        <f>O13*F13</f>
        <v/>
      </c>
      <c r="Q13" s="9">
        <f>P13*100</f>
        <v/>
      </c>
      <c r="R13" s="9">
        <f>D13*F13</f>
        <v/>
      </c>
    </row>
    <row r="14" ht="15" customHeight="1" s="6">
      <c r="A14" t="inlineStr">
        <is>
          <t>Sal laitue blonde 12P c1 SLC1</t>
        </is>
      </c>
      <c r="C14" t="n">
        <v>1.4</v>
      </c>
      <c r="E14" t="n">
        <v>1.99</v>
      </c>
      <c r="F14" t="n">
        <v>12</v>
      </c>
      <c r="G14" s="7">
        <f>Q14/R14</f>
        <v/>
      </c>
      <c r="H14" s="7">
        <f>L14/M14</f>
        <v/>
      </c>
      <c r="I14" s="9">
        <f>E14/1.055</f>
        <v/>
      </c>
      <c r="J14" s="9">
        <f>I14-C14</f>
        <v/>
      </c>
      <c r="K14" s="9">
        <f>J14*F14</f>
        <v/>
      </c>
      <c r="L14" s="9">
        <f>K14*100</f>
        <v/>
      </c>
      <c r="M14" s="9">
        <f>E14*F14</f>
        <v/>
      </c>
      <c r="N14" s="9">
        <f>D14/1.055</f>
        <v/>
      </c>
      <c r="O14" s="9">
        <f>N14-B14</f>
        <v/>
      </c>
      <c r="P14" s="9">
        <f>O14*F14</f>
        <v/>
      </c>
      <c r="Q14" s="9">
        <f>P14*100</f>
        <v/>
      </c>
      <c r="R14" s="9">
        <f>D14*F14</f>
        <v/>
      </c>
    </row>
    <row r="15" ht="15" customHeight="1" s="6">
      <c r="A15" t="inlineStr">
        <is>
          <t>Kiwi 89/103g 104F Zespri c1 NZ</t>
        </is>
      </c>
      <c r="C15" t="n">
        <v>0.45</v>
      </c>
      <c r="E15" t="n">
        <v>0.6899999999999999</v>
      </c>
      <c r="F15" t="n">
        <v>208</v>
      </c>
      <c r="G15" s="7">
        <f>Q15/R15</f>
        <v/>
      </c>
      <c r="H15" s="7">
        <f>L15/M15</f>
        <v/>
      </c>
      <c r="I15" s="9">
        <f>E15/1.055</f>
        <v/>
      </c>
      <c r="J15" s="9">
        <f>I15-C15</f>
        <v/>
      </c>
      <c r="K15" s="9">
        <f>J15*F15</f>
        <v/>
      </c>
      <c r="L15" s="9">
        <f>K15*100</f>
        <v/>
      </c>
      <c r="M15" s="9">
        <f>E15*F15</f>
        <v/>
      </c>
      <c r="N15" s="9">
        <f>D15/1.055</f>
        <v/>
      </c>
      <c r="O15" s="9">
        <f>N15-B15</f>
        <v/>
      </c>
      <c r="P15" s="9">
        <f>O15*F15</f>
        <v/>
      </c>
      <c r="Q15" s="9">
        <f>P15*100</f>
        <v/>
      </c>
      <c r="R15" s="9">
        <f>D15*F15</f>
        <v/>
      </c>
    </row>
    <row r="16" ht="15" customHeight="1" s="6">
      <c r="A16" t="inlineStr">
        <is>
          <t>Kiwi jne 88/103g 59F Zespri c1 NZ</t>
        </is>
      </c>
      <c r="C16" t="n">
        <v>0.6</v>
      </c>
      <c r="E16" t="n">
        <v>0.99</v>
      </c>
      <c r="F16" t="n">
        <v>118</v>
      </c>
      <c r="G16" s="7">
        <f>Q16/R16</f>
        <v/>
      </c>
      <c r="H16" s="7">
        <f>L16/M16</f>
        <v/>
      </c>
      <c r="I16" s="9">
        <f>E16/1.055</f>
        <v/>
      </c>
      <c r="J16" s="9">
        <f>I16-C16</f>
        <v/>
      </c>
      <c r="K16" s="9">
        <f>J16*F16</f>
        <v/>
      </c>
      <c r="L16" s="9">
        <f>K16*100</f>
        <v/>
      </c>
      <c r="M16" s="9">
        <f>E16*F16</f>
        <v/>
      </c>
      <c r="N16" s="9">
        <f>D16/1.055</f>
        <v/>
      </c>
      <c r="O16" s="9">
        <f>N16-B16</f>
        <v/>
      </c>
      <c r="P16" s="9">
        <f>O16*F16</f>
        <v/>
      </c>
      <c r="Q16" s="9">
        <f>P16*100</f>
        <v/>
      </c>
      <c r="R16" s="9">
        <f>D16*F16</f>
        <v/>
      </c>
    </row>
    <row r="17" ht="15" customHeight="1" s="6">
      <c r="G17" s="7">
        <f>Q17/R17</f>
        <v/>
      </c>
      <c r="H17" s="7">
        <f>L17/M17</f>
        <v/>
      </c>
      <c r="I17" s="9">
        <f>E17/1.055</f>
        <v/>
      </c>
      <c r="J17" s="9">
        <f>I17-C17</f>
        <v/>
      </c>
      <c r="K17" s="9">
        <f>J17*F17</f>
        <v/>
      </c>
      <c r="L17" s="9">
        <f>K17*100</f>
        <v/>
      </c>
      <c r="M17" s="9">
        <f>E17*F17</f>
        <v/>
      </c>
      <c r="N17" s="9">
        <f>D17/1.055</f>
        <v/>
      </c>
      <c r="O17" s="9">
        <f>N17-B17</f>
        <v/>
      </c>
      <c r="P17" s="9">
        <f>O17*F17</f>
        <v/>
      </c>
      <c r="Q17" s="9">
        <f>P17*100</f>
        <v/>
      </c>
      <c r="R17" s="9">
        <f>D17*F17</f>
        <v/>
      </c>
    </row>
    <row r="18" ht="15" customHeight="1" s="6">
      <c r="G18" s="7">
        <f>Q18/R18</f>
        <v/>
      </c>
      <c r="H18" s="7">
        <f>L18/M18</f>
        <v/>
      </c>
      <c r="I18" s="9">
        <f>E18/1.055</f>
        <v/>
      </c>
      <c r="J18" s="9">
        <f>I18-C18</f>
        <v/>
      </c>
      <c r="K18" s="9">
        <f>J18*F18</f>
        <v/>
      </c>
      <c r="L18" s="9">
        <f>K18*100</f>
        <v/>
      </c>
      <c r="M18" s="9">
        <f>E18*F18</f>
        <v/>
      </c>
      <c r="N18" s="9">
        <f>D18/1.055</f>
        <v/>
      </c>
      <c r="O18" s="9">
        <f>N18-B18</f>
        <v/>
      </c>
      <c r="P18" s="9">
        <f>O18*F18</f>
        <v/>
      </c>
      <c r="Q18" s="9">
        <f>P18*100</f>
        <v/>
      </c>
      <c r="R18" s="9">
        <f>D18*F18</f>
        <v/>
      </c>
    </row>
    <row r="19" ht="15" customHeight="1" s="6">
      <c r="G19" s="7">
        <f>Q19/R19</f>
        <v/>
      </c>
      <c r="H19" s="7">
        <f>L19/M19</f>
        <v/>
      </c>
      <c r="I19" s="9">
        <f>E19/1.055</f>
        <v/>
      </c>
      <c r="J19" s="9">
        <f>I19-C19</f>
        <v/>
      </c>
      <c r="K19" s="9">
        <f>J19*F19</f>
        <v/>
      </c>
      <c r="L19" s="9">
        <f>K19*100</f>
        <v/>
      </c>
      <c r="M19" s="9">
        <f>E19*F19</f>
        <v/>
      </c>
      <c r="N19" s="9">
        <f>D19/1.055</f>
        <v/>
      </c>
      <c r="O19" s="9">
        <f>N19-B19</f>
        <v/>
      </c>
      <c r="P19" s="9">
        <f>O19*F19</f>
        <v/>
      </c>
      <c r="Q19" s="9">
        <f>P19*100</f>
        <v/>
      </c>
      <c r="R19" s="9">
        <f>D19*F19</f>
        <v/>
      </c>
    </row>
    <row r="20" ht="15" customHeight="1" s="6">
      <c r="G20" s="7">
        <f>Q20/R20</f>
        <v/>
      </c>
      <c r="H20" s="7">
        <f>L20/M20</f>
        <v/>
      </c>
      <c r="I20" s="9">
        <f>E20/1.055</f>
        <v/>
      </c>
      <c r="J20" s="9">
        <f>I20-C20</f>
        <v/>
      </c>
      <c r="K20" s="9">
        <f>J20*F20</f>
        <v/>
      </c>
      <c r="L20" s="9">
        <f>K20*100</f>
        <v/>
      </c>
      <c r="M20" s="9">
        <f>E20*F20</f>
        <v/>
      </c>
      <c r="N20" s="9">
        <f>D20/1.055</f>
        <v/>
      </c>
      <c r="O20" s="9">
        <f>N20-B20</f>
        <v/>
      </c>
      <c r="P20" s="9">
        <f>O20*F20</f>
        <v/>
      </c>
      <c r="Q20" s="9">
        <f>P20*100</f>
        <v/>
      </c>
      <c r="R20" s="9">
        <f>D20*F20</f>
        <v/>
      </c>
    </row>
    <row r="21" ht="15" customHeight="1" s="6">
      <c r="G21" s="7">
        <f>Q21/R21</f>
        <v/>
      </c>
      <c r="H21" s="7">
        <f>L21/M21</f>
        <v/>
      </c>
      <c r="I21" s="9">
        <f>E21/1.055</f>
        <v/>
      </c>
      <c r="J21" s="9">
        <f>I21-C21</f>
        <v/>
      </c>
      <c r="K21" s="9">
        <f>J21*F21</f>
        <v/>
      </c>
      <c r="L21" s="9">
        <f>K21*100</f>
        <v/>
      </c>
      <c r="M21" s="9">
        <f>E21*F21</f>
        <v/>
      </c>
      <c r="N21" s="9">
        <f>D21/1.055</f>
        <v/>
      </c>
      <c r="O21" s="9">
        <f>N21-B21</f>
        <v/>
      </c>
      <c r="P21" s="9">
        <f>O21*F21</f>
        <v/>
      </c>
      <c r="Q21" s="9">
        <f>P21*100</f>
        <v/>
      </c>
      <c r="R21" s="9">
        <f>D21*F21</f>
        <v/>
      </c>
    </row>
    <row r="22" ht="15" customHeight="1" s="6">
      <c r="G22" s="7">
        <f>Q22/R22</f>
        <v/>
      </c>
      <c r="H22" s="7">
        <f>L22/M22</f>
        <v/>
      </c>
      <c r="I22" s="9">
        <f>E22/1.055</f>
        <v/>
      </c>
      <c r="J22" s="9">
        <f>I22-C22</f>
        <v/>
      </c>
      <c r="K22" s="9">
        <f>J22*F22</f>
        <v/>
      </c>
      <c r="L22" s="9">
        <f>K22*100</f>
        <v/>
      </c>
      <c r="M22" s="9">
        <f>E22*F22</f>
        <v/>
      </c>
      <c r="N22" s="9">
        <f>D22/1.055</f>
        <v/>
      </c>
      <c r="O22" s="9">
        <f>N22-B22</f>
        <v/>
      </c>
      <c r="P22" s="9">
        <f>O22*F22</f>
        <v/>
      </c>
      <c r="Q22" s="9">
        <f>P22*100</f>
        <v/>
      </c>
      <c r="R22" s="9">
        <f>D22*F22</f>
        <v/>
      </c>
    </row>
    <row r="23" ht="15" customHeight="1" s="6">
      <c r="G23" s="7">
        <f>Q23/R23</f>
        <v/>
      </c>
      <c r="H23" s="7">
        <f>L23/M23</f>
        <v/>
      </c>
      <c r="I23" s="9">
        <f>E23/1.055</f>
        <v/>
      </c>
      <c r="J23" s="9">
        <f>I23-C23</f>
        <v/>
      </c>
      <c r="K23" s="9">
        <f>J23*F23</f>
        <v/>
      </c>
      <c r="L23" s="9">
        <f>K23*100</f>
        <v/>
      </c>
      <c r="M23" s="9">
        <f>E23*F23</f>
        <v/>
      </c>
      <c r="N23" s="9">
        <f>D23/1.055</f>
        <v/>
      </c>
      <c r="O23" s="9">
        <f>N23-B23</f>
        <v/>
      </c>
      <c r="P23" s="9">
        <f>O23*F23</f>
        <v/>
      </c>
      <c r="Q23" s="9">
        <f>P23*100</f>
        <v/>
      </c>
      <c r="R23" s="9">
        <f>D23*F23</f>
        <v/>
      </c>
    </row>
    <row r="24" ht="15" customHeight="1" s="6">
      <c r="G24" s="7">
        <f>Q24/R24</f>
        <v/>
      </c>
      <c r="H24" s="7">
        <f>L24/M24</f>
        <v/>
      </c>
      <c r="I24" s="9">
        <f>E24/1.055</f>
        <v/>
      </c>
      <c r="J24" s="9">
        <f>I24-C24</f>
        <v/>
      </c>
      <c r="K24" s="9">
        <f>J24*F24</f>
        <v/>
      </c>
      <c r="L24" s="9">
        <f>K24*100</f>
        <v/>
      </c>
      <c r="M24" s="9">
        <f>E24*F24</f>
        <v/>
      </c>
      <c r="N24" s="9">
        <f>D24/1.055</f>
        <v/>
      </c>
      <c r="O24" s="9">
        <f>N24-B24</f>
        <v/>
      </c>
      <c r="P24" s="9">
        <f>O24*F24</f>
        <v/>
      </c>
      <c r="Q24" s="9">
        <f>P24*100</f>
        <v/>
      </c>
      <c r="R24" s="9">
        <f>D24*F24</f>
        <v/>
      </c>
    </row>
    <row r="25" ht="15" customHeight="1" s="6">
      <c r="G25" s="7">
        <f>Q25/R25</f>
        <v/>
      </c>
      <c r="H25" s="7">
        <f>L25/M25</f>
        <v/>
      </c>
      <c r="I25" s="9">
        <f>E25/1.055</f>
        <v/>
      </c>
      <c r="J25" s="9">
        <f>I25-C25</f>
        <v/>
      </c>
      <c r="K25" s="9">
        <f>J25*F25</f>
        <v/>
      </c>
      <c r="L25" s="9">
        <f>K25*100</f>
        <v/>
      </c>
      <c r="M25" s="9">
        <f>E25*F25</f>
        <v/>
      </c>
      <c r="N25" s="9">
        <f>D25/1.055</f>
        <v/>
      </c>
      <c r="O25" s="9">
        <f>N25-B25</f>
        <v/>
      </c>
      <c r="P25" s="9">
        <f>O25*F25</f>
        <v/>
      </c>
      <c r="Q25" s="9">
        <f>P25*100</f>
        <v/>
      </c>
      <c r="R25" s="9">
        <f>D25*F25</f>
        <v/>
      </c>
    </row>
    <row r="26" ht="15" customHeight="1" s="6">
      <c r="G26" s="7">
        <f>Q26/R26</f>
        <v/>
      </c>
      <c r="H26" s="7">
        <f>L26/M26</f>
        <v/>
      </c>
      <c r="I26" s="9">
        <f>E26/1.055</f>
        <v/>
      </c>
      <c r="J26" s="9">
        <f>I26-C26</f>
        <v/>
      </c>
      <c r="K26" s="9">
        <f>J26*F26</f>
        <v/>
      </c>
      <c r="L26" s="9">
        <f>K26*100</f>
        <v/>
      </c>
      <c r="M26" s="9">
        <f>E26*F26</f>
        <v/>
      </c>
      <c r="N26" s="9">
        <f>D26/1.055</f>
        <v/>
      </c>
      <c r="O26" s="9">
        <f>N26-B26</f>
        <v/>
      </c>
      <c r="P26" s="9">
        <f>O26*F26</f>
        <v/>
      </c>
      <c r="Q26" s="9">
        <f>P26*100</f>
        <v/>
      </c>
      <c r="R26" s="9">
        <f>D26*F26</f>
        <v/>
      </c>
    </row>
    <row r="27" ht="15" customHeight="1" s="6">
      <c r="G27" s="7">
        <f>Q27/R27</f>
        <v/>
      </c>
      <c r="H27" s="7">
        <f>L27/M27</f>
        <v/>
      </c>
      <c r="I27" s="9">
        <f>E27/1.055</f>
        <v/>
      </c>
      <c r="J27" s="9">
        <f>I27-C27</f>
        <v/>
      </c>
      <c r="K27" s="9">
        <f>J27*F27</f>
        <v/>
      </c>
      <c r="L27" s="9">
        <f>K27*100</f>
        <v/>
      </c>
      <c r="M27" s="9">
        <f>E27*F27</f>
        <v/>
      </c>
      <c r="N27" s="9">
        <f>D27/1.055</f>
        <v/>
      </c>
      <c r="O27" s="9">
        <f>N27-B27</f>
        <v/>
      </c>
      <c r="P27" s="9">
        <f>O27*F27</f>
        <v/>
      </c>
      <c r="Q27" s="9">
        <f>P27*100</f>
        <v/>
      </c>
      <c r="R27" s="9">
        <f>D27*F27</f>
        <v/>
      </c>
    </row>
    <row r="28" ht="15" customHeight="1" s="6">
      <c r="G28" s="7">
        <f>Q28/R28</f>
        <v/>
      </c>
      <c r="H28" s="7">
        <f>L28/M28</f>
        <v/>
      </c>
      <c r="I28" s="9">
        <f>E28/1.055</f>
        <v/>
      </c>
      <c r="J28" s="9">
        <f>I28-C28</f>
        <v/>
      </c>
      <c r="K28" s="9">
        <f>J28*F28</f>
        <v/>
      </c>
      <c r="L28" s="9">
        <f>K28*100</f>
        <v/>
      </c>
      <c r="M28" s="9">
        <f>E28*F28</f>
        <v/>
      </c>
      <c r="N28" s="9">
        <f>D28/1.055</f>
        <v/>
      </c>
      <c r="O28" s="9">
        <f>N28-B28</f>
        <v/>
      </c>
      <c r="P28" s="9">
        <f>O28*F28</f>
        <v/>
      </c>
      <c r="Q28" s="9">
        <f>P28*100</f>
        <v/>
      </c>
      <c r="R28" s="9">
        <f>D28*F28</f>
        <v/>
      </c>
    </row>
    <row r="29" ht="15" customHeight="1" s="6">
      <c r="G29" s="7">
        <f>Q29/R29</f>
        <v/>
      </c>
      <c r="H29" s="7">
        <f>L29/M29</f>
        <v/>
      </c>
      <c r="I29" s="9">
        <f>E29/1.055</f>
        <v/>
      </c>
      <c r="J29" s="9">
        <f>I29-C29</f>
        <v/>
      </c>
      <c r="K29" s="9">
        <f>J29*F29</f>
        <v/>
      </c>
      <c r="L29" s="9">
        <f>K29*100</f>
        <v/>
      </c>
      <c r="M29" s="9">
        <f>E29*F29</f>
        <v/>
      </c>
      <c r="N29" s="9">
        <f>D29/1.055</f>
        <v/>
      </c>
      <c r="O29" s="9">
        <f>N29-B29</f>
        <v/>
      </c>
      <c r="P29" s="9">
        <f>O29*F29</f>
        <v/>
      </c>
      <c r="Q29" s="9">
        <f>P29*100</f>
        <v/>
      </c>
      <c r="R29" s="9">
        <f>D29*F29</f>
        <v/>
      </c>
    </row>
    <row r="30" ht="15" customHeight="1" s="6">
      <c r="G30" s="7">
        <f>Q30/R30</f>
        <v/>
      </c>
      <c r="H30" s="7">
        <f>L30/M30</f>
        <v/>
      </c>
      <c r="I30" s="9">
        <f>E30/1.055</f>
        <v/>
      </c>
      <c r="J30" s="9">
        <f>I30-C30</f>
        <v/>
      </c>
      <c r="K30" s="9">
        <f>J30*F30</f>
        <v/>
      </c>
      <c r="L30" s="9">
        <f>K30*100</f>
        <v/>
      </c>
      <c r="M30" s="9">
        <f>E30*F30</f>
        <v/>
      </c>
      <c r="N30" s="9">
        <f>D30/1.055</f>
        <v/>
      </c>
      <c r="O30" s="9">
        <f>N30-B30</f>
        <v/>
      </c>
      <c r="P30" s="9">
        <f>O30*F30</f>
        <v/>
      </c>
      <c r="Q30" s="9">
        <f>P30*100</f>
        <v/>
      </c>
      <c r="R30" s="9">
        <f>D30*F30</f>
        <v/>
      </c>
    </row>
    <row r="31" ht="15" customHeight="1" s="6">
      <c r="G31" s="7">
        <f>Q31/R31</f>
        <v/>
      </c>
      <c r="H31" s="7">
        <f>L31/M31</f>
        <v/>
      </c>
      <c r="I31" s="9">
        <f>E31/1.055</f>
        <v/>
      </c>
      <c r="J31" s="9">
        <f>I31-C31</f>
        <v/>
      </c>
      <c r="K31" s="9">
        <f>J31*F31</f>
        <v/>
      </c>
      <c r="L31" s="9">
        <f>K31*100</f>
        <v/>
      </c>
      <c r="M31" s="9">
        <f>E31*F31</f>
        <v/>
      </c>
      <c r="N31" s="9">
        <f>D31/1.055</f>
        <v/>
      </c>
      <c r="O31" s="9">
        <f>N31-B31</f>
        <v/>
      </c>
      <c r="P31" s="9">
        <f>O31*F31</f>
        <v/>
      </c>
      <c r="Q31" s="9">
        <f>P31*100</f>
        <v/>
      </c>
      <c r="R31" s="9">
        <f>D31*F31</f>
        <v/>
      </c>
    </row>
    <row r="32" ht="15" customHeight="1" s="6">
      <c r="G32" s="7">
        <f>Q32/R32</f>
        <v/>
      </c>
      <c r="H32" s="7">
        <f>L32/M32</f>
        <v/>
      </c>
      <c r="I32" s="9">
        <f>E32/1.055</f>
        <v/>
      </c>
      <c r="J32" s="9">
        <f>I32-C32</f>
        <v/>
      </c>
      <c r="K32" s="9">
        <f>J32*F32</f>
        <v/>
      </c>
      <c r="L32" s="9">
        <f>K32*100</f>
        <v/>
      </c>
      <c r="M32" s="9">
        <f>E32*F32</f>
        <v/>
      </c>
      <c r="N32" s="9">
        <f>D32/1.055</f>
        <v/>
      </c>
      <c r="O32" s="9">
        <f>N32-B32</f>
        <v/>
      </c>
      <c r="P32" s="9">
        <f>O32*F32</f>
        <v/>
      </c>
      <c r="Q32" s="9">
        <f>P32*100</f>
        <v/>
      </c>
      <c r="R32" s="9">
        <f>D32*F32</f>
        <v/>
      </c>
    </row>
    <row r="33" ht="15" customHeight="1" s="6">
      <c r="G33" s="7">
        <f>Q33/R33</f>
        <v/>
      </c>
      <c r="H33" s="7">
        <f>L33/M33</f>
        <v/>
      </c>
      <c r="I33" s="9">
        <f>E33/1.055</f>
        <v/>
      </c>
      <c r="J33" s="9">
        <f>I33-C33</f>
        <v/>
      </c>
      <c r="K33" s="9">
        <f>J33*F33</f>
        <v/>
      </c>
      <c r="L33" s="9">
        <f>K33*100</f>
        <v/>
      </c>
      <c r="M33" s="9">
        <f>E33*F33</f>
        <v/>
      </c>
      <c r="N33" s="9">
        <f>D33/1.055</f>
        <v/>
      </c>
      <c r="O33" s="9">
        <f>N33-B33</f>
        <v/>
      </c>
      <c r="P33" s="9">
        <f>O33*F33</f>
        <v/>
      </c>
      <c r="Q33" s="9">
        <f>P33*100</f>
        <v/>
      </c>
      <c r="R33" s="9">
        <f>D33*F33</f>
        <v/>
      </c>
    </row>
    <row r="34" ht="15" customHeight="1" s="6">
      <c r="G34" s="7">
        <f>Q34/R34</f>
        <v/>
      </c>
      <c r="H34" s="7">
        <f>L34/M34</f>
        <v/>
      </c>
      <c r="I34" s="9">
        <f>E34/1.055</f>
        <v/>
      </c>
      <c r="J34" s="9">
        <f>I34-C34</f>
        <v/>
      </c>
      <c r="K34" s="9">
        <f>J34*F34</f>
        <v/>
      </c>
      <c r="L34" s="9">
        <f>K34*100</f>
        <v/>
      </c>
      <c r="M34" s="9">
        <f>E34*F34</f>
        <v/>
      </c>
      <c r="N34" s="9">
        <f>D34/1.055</f>
        <v/>
      </c>
      <c r="O34" s="9">
        <f>N34-B34</f>
        <v/>
      </c>
      <c r="P34" s="9">
        <f>O34*F34</f>
        <v/>
      </c>
      <c r="Q34" s="9">
        <f>P34*100</f>
        <v/>
      </c>
      <c r="R34" s="9">
        <f>D34*F34</f>
        <v/>
      </c>
    </row>
    <row r="35" ht="15" customHeight="1" s="6">
      <c r="G35" s="7">
        <f>Q35/R35</f>
        <v/>
      </c>
      <c r="H35" s="7">
        <f>L35/M35</f>
        <v/>
      </c>
      <c r="I35" s="9">
        <f>E35/1.055</f>
        <v/>
      </c>
      <c r="J35" s="9">
        <f>I35-C35</f>
        <v/>
      </c>
      <c r="K35" s="9">
        <f>J35*F35</f>
        <v/>
      </c>
      <c r="L35" s="9">
        <f>K35*100</f>
        <v/>
      </c>
      <c r="M35" s="9">
        <f>E35*F35</f>
        <v/>
      </c>
      <c r="N35" s="9">
        <f>D35/1.055</f>
        <v/>
      </c>
      <c r="O35" s="9">
        <f>N35-B35</f>
        <v/>
      </c>
      <c r="P35" s="9">
        <f>O35*F35</f>
        <v/>
      </c>
      <c r="Q35" s="9">
        <f>P35*100</f>
        <v/>
      </c>
      <c r="R35" s="9">
        <f>D35*F35</f>
        <v/>
      </c>
    </row>
    <row r="36" ht="15" customHeight="1" s="6">
      <c r="G36" s="7">
        <f>Q36/R36</f>
        <v/>
      </c>
      <c r="H36" s="7">
        <f>L36/M36</f>
        <v/>
      </c>
      <c r="I36" s="9">
        <f>E36/1.055</f>
        <v/>
      </c>
      <c r="J36" s="9">
        <f>I36-C36</f>
        <v/>
      </c>
      <c r="K36" s="9">
        <f>J36*F36</f>
        <v/>
      </c>
      <c r="L36" s="9">
        <f>K36*100</f>
        <v/>
      </c>
      <c r="M36" s="9">
        <f>E36*F36</f>
        <v/>
      </c>
      <c r="N36" s="9">
        <f>D36/1.055</f>
        <v/>
      </c>
      <c r="O36" s="9">
        <f>N36-B36</f>
        <v/>
      </c>
      <c r="P36" s="9">
        <f>O36*F36</f>
        <v/>
      </c>
      <c r="Q36" s="9">
        <f>P36*100</f>
        <v/>
      </c>
      <c r="R36" s="9">
        <f>D36*F36</f>
        <v/>
      </c>
    </row>
    <row r="37" ht="15" customHeight="1" s="6">
      <c r="G37" s="7">
        <f>Q37/R37</f>
        <v/>
      </c>
      <c r="H37" s="7">
        <f>L37/M37</f>
        <v/>
      </c>
      <c r="I37" s="9">
        <f>E37/1.055</f>
        <v/>
      </c>
      <c r="J37" s="9">
        <f>I37-C37</f>
        <v/>
      </c>
      <c r="K37" s="9">
        <f>J37*F37</f>
        <v/>
      </c>
      <c r="L37" s="9">
        <f>K37*100</f>
        <v/>
      </c>
      <c r="M37" s="9">
        <f>E37*F37</f>
        <v/>
      </c>
      <c r="N37" s="9">
        <f>D37/1.055</f>
        <v/>
      </c>
      <c r="O37" s="9">
        <f>N37-B37</f>
        <v/>
      </c>
      <c r="P37" s="9">
        <f>O37*F37</f>
        <v/>
      </c>
      <c r="Q37" s="9">
        <f>P37*100</f>
        <v/>
      </c>
      <c r="R37" s="9">
        <f>D37*F37</f>
        <v/>
      </c>
    </row>
    <row r="38" ht="15" customHeight="1" s="6">
      <c r="G38" s="7">
        <f>Q38/R38</f>
        <v/>
      </c>
      <c r="H38" s="7">
        <f>L38/M38</f>
        <v/>
      </c>
      <c r="I38" s="9">
        <f>E38/1.055</f>
        <v/>
      </c>
      <c r="J38" s="9">
        <f>I38-C38</f>
        <v/>
      </c>
      <c r="K38" s="9">
        <f>J38*F38</f>
        <v/>
      </c>
      <c r="L38" s="9">
        <f>K38*100</f>
        <v/>
      </c>
      <c r="M38" s="9">
        <f>E38*F38</f>
        <v/>
      </c>
      <c r="N38" s="9">
        <f>D38/1.055</f>
        <v/>
      </c>
      <c r="O38" s="9">
        <f>N38-B38</f>
        <v/>
      </c>
      <c r="P38" s="9">
        <f>O38*F38</f>
        <v/>
      </c>
      <c r="Q38" s="9">
        <f>P38*100</f>
        <v/>
      </c>
      <c r="R38" s="9">
        <f>D38*F38</f>
        <v/>
      </c>
    </row>
    <row r="39" ht="15" customHeight="1" s="6">
      <c r="G39" s="7">
        <f>Q39/R39</f>
        <v/>
      </c>
      <c r="H39" s="7">
        <f>L39/M39</f>
        <v/>
      </c>
      <c r="I39" s="9">
        <f>E39/1.055</f>
        <v/>
      </c>
      <c r="J39" s="9">
        <f>I39-C39</f>
        <v/>
      </c>
      <c r="K39" s="9">
        <f>J39*F39</f>
        <v/>
      </c>
      <c r="L39" s="9">
        <f>K39*100</f>
        <v/>
      </c>
      <c r="M39" s="9">
        <f>E39*F39</f>
        <v/>
      </c>
      <c r="N39" s="9">
        <f>D39/1.055</f>
        <v/>
      </c>
      <c r="O39" s="9">
        <f>N39-B39</f>
        <v/>
      </c>
      <c r="P39" s="9">
        <f>O39*F39</f>
        <v/>
      </c>
      <c r="Q39" s="9">
        <f>P39*100</f>
        <v/>
      </c>
      <c r="R39" s="9">
        <f>D39*F39</f>
        <v/>
      </c>
    </row>
    <row r="40" ht="15" customHeight="1" s="6">
      <c r="G40" s="7">
        <f>Q40/R40</f>
        <v/>
      </c>
      <c r="H40" s="7">
        <f>L40/M40</f>
        <v/>
      </c>
      <c r="I40" s="9">
        <f>E40/1.055</f>
        <v/>
      </c>
      <c r="J40" s="9">
        <f>I40-C40</f>
        <v/>
      </c>
      <c r="K40" s="9">
        <f>J40*F40</f>
        <v/>
      </c>
      <c r="L40" s="9">
        <f>K40*100</f>
        <v/>
      </c>
      <c r="M40" s="9">
        <f>E40*F40</f>
        <v/>
      </c>
      <c r="N40" s="9">
        <f>D40/1.055</f>
        <v/>
      </c>
      <c r="O40" s="9">
        <f>N40-B40</f>
        <v/>
      </c>
      <c r="P40" s="9">
        <f>O40*F40</f>
        <v/>
      </c>
      <c r="Q40" s="9">
        <f>P40*100</f>
        <v/>
      </c>
      <c r="R40" s="9">
        <f>D40*F40</f>
        <v/>
      </c>
    </row>
    <row r="41" ht="15" customHeight="1" s="6">
      <c r="G41" s="7">
        <f>Q41/R41</f>
        <v/>
      </c>
      <c r="H41" s="7">
        <f>L41/M41</f>
        <v/>
      </c>
      <c r="I41" s="9">
        <f>E41/1.055</f>
        <v/>
      </c>
      <c r="J41" s="9">
        <f>I41-C41</f>
        <v/>
      </c>
      <c r="K41" s="9">
        <f>J41*F41</f>
        <v/>
      </c>
      <c r="L41" s="9">
        <f>K41*100</f>
        <v/>
      </c>
      <c r="M41" s="9">
        <f>E41*F41</f>
        <v/>
      </c>
      <c r="N41" s="9">
        <f>D41/1.055</f>
        <v/>
      </c>
      <c r="O41" s="9">
        <f>N41-B41</f>
        <v/>
      </c>
      <c r="P41" s="9">
        <f>O41*F41</f>
        <v/>
      </c>
      <c r="Q41" s="9">
        <f>P41*100</f>
        <v/>
      </c>
      <c r="R41" s="9">
        <f>D41*F41</f>
        <v/>
      </c>
    </row>
    <row r="42" ht="15" customHeight="1" s="6">
      <c r="G42" s="7">
        <f>Q42/R42</f>
        <v/>
      </c>
      <c r="H42" s="7">
        <f>L42/M42</f>
        <v/>
      </c>
      <c r="I42" s="9">
        <f>E42/1.055</f>
        <v/>
      </c>
      <c r="J42" s="9">
        <f>I42-C42</f>
        <v/>
      </c>
      <c r="K42" s="9">
        <f>J42*F42</f>
        <v/>
      </c>
      <c r="L42" s="9">
        <f>K42*100</f>
        <v/>
      </c>
      <c r="M42" s="9">
        <f>E42*F42</f>
        <v/>
      </c>
      <c r="N42" s="9">
        <f>D42/1.055</f>
        <v/>
      </c>
      <c r="O42" s="9">
        <f>N42-B42</f>
        <v/>
      </c>
      <c r="P42" s="9">
        <f>O42*F42</f>
        <v/>
      </c>
      <c r="Q42" s="9">
        <f>P42*100</f>
        <v/>
      </c>
      <c r="R42" s="9">
        <f>D42*F42</f>
        <v/>
      </c>
    </row>
    <row r="43" ht="15" customHeight="1" s="6">
      <c r="G43" s="7">
        <f>Q43/R43</f>
        <v/>
      </c>
      <c r="H43" s="7">
        <f>L43/M43</f>
        <v/>
      </c>
      <c r="I43" s="9">
        <f>E43/1.055</f>
        <v/>
      </c>
      <c r="J43" s="9">
        <f>I43-C43</f>
        <v/>
      </c>
      <c r="K43" s="9">
        <f>J43*F43</f>
        <v/>
      </c>
      <c r="L43" s="9">
        <f>K43*100</f>
        <v/>
      </c>
      <c r="M43" s="9">
        <f>E43*F43</f>
        <v/>
      </c>
      <c r="N43" s="9">
        <f>D43/1.055</f>
        <v/>
      </c>
      <c r="O43" s="9">
        <f>N43-B43</f>
        <v/>
      </c>
      <c r="P43" s="9">
        <f>O43*F43</f>
        <v/>
      </c>
      <c r="Q43" s="9">
        <f>P43*100</f>
        <v/>
      </c>
      <c r="R43" s="9">
        <f>D43*F43</f>
        <v/>
      </c>
    </row>
    <row r="44" ht="15" customHeight="1" s="6">
      <c r="G44" s="7">
        <f>Q44/R44</f>
        <v/>
      </c>
      <c r="H44" s="7">
        <f>L44/M44</f>
        <v/>
      </c>
      <c r="I44" s="9">
        <f>E44/1.055</f>
        <v/>
      </c>
      <c r="J44" s="9">
        <f>I44-C44</f>
        <v/>
      </c>
      <c r="K44" s="9">
        <f>J44*F44</f>
        <v/>
      </c>
      <c r="L44" s="9">
        <f>K44*100</f>
        <v/>
      </c>
      <c r="M44" s="9">
        <f>E44*F44</f>
        <v/>
      </c>
      <c r="N44" s="9">
        <f>D44/1.055</f>
        <v/>
      </c>
      <c r="O44" s="9">
        <f>N44-B44</f>
        <v/>
      </c>
      <c r="P44" s="9">
        <f>O44*F44</f>
        <v/>
      </c>
      <c r="Q44" s="9">
        <f>P44*100</f>
        <v/>
      </c>
      <c r="R44" s="9">
        <f>D44*F44</f>
        <v/>
      </c>
    </row>
    <row r="45" ht="15" customHeight="1" s="6">
      <c r="G45" s="7">
        <f>Q45/R45</f>
        <v/>
      </c>
      <c r="H45" s="7">
        <f>L45/M45</f>
        <v/>
      </c>
      <c r="I45" s="9">
        <f>E45/1.055</f>
        <v/>
      </c>
      <c r="J45" s="9">
        <f>I45-C45</f>
        <v/>
      </c>
      <c r="K45" s="9">
        <f>J45*F45</f>
        <v/>
      </c>
      <c r="L45" s="9">
        <f>K45*100</f>
        <v/>
      </c>
      <c r="M45" s="9">
        <f>E45*F45</f>
        <v/>
      </c>
      <c r="N45" s="9">
        <f>D45/1.055</f>
        <v/>
      </c>
      <c r="O45" s="9">
        <f>N45-B45</f>
        <v/>
      </c>
      <c r="P45" s="9">
        <f>O45*F45</f>
        <v/>
      </c>
      <c r="Q45" s="9">
        <f>P45*100</f>
        <v/>
      </c>
      <c r="R45" s="9">
        <f>D45*F45</f>
        <v/>
      </c>
    </row>
    <row r="46" ht="15" customHeight="1" s="6">
      <c r="G46" s="7">
        <f>Q46/R46</f>
        <v/>
      </c>
      <c r="H46" s="7">
        <f>L46/M46</f>
        <v/>
      </c>
      <c r="I46" s="9">
        <f>E46/1.055</f>
        <v/>
      </c>
      <c r="J46" s="9">
        <f>I46-C46</f>
        <v/>
      </c>
      <c r="K46" s="9">
        <f>J46*F46</f>
        <v/>
      </c>
      <c r="L46" s="9">
        <f>K46*100</f>
        <v/>
      </c>
      <c r="M46" s="9">
        <f>E46*F46</f>
        <v/>
      </c>
      <c r="N46" s="9">
        <f>D46/1.055</f>
        <v/>
      </c>
      <c r="O46" s="9">
        <f>N46-B46</f>
        <v/>
      </c>
      <c r="P46" s="9">
        <f>O46*F46</f>
        <v/>
      </c>
      <c r="Q46" s="9">
        <f>P46*100</f>
        <v/>
      </c>
      <c r="R46" s="9">
        <f>D46*F46</f>
        <v/>
      </c>
    </row>
    <row r="47" ht="15" customHeight="1" s="6">
      <c r="G47" s="7">
        <f>Q47/R47</f>
        <v/>
      </c>
      <c r="H47" s="7">
        <f>L47/M47</f>
        <v/>
      </c>
      <c r="I47" s="9">
        <f>E47/1.055</f>
        <v/>
      </c>
      <c r="J47" s="9">
        <f>I47-C47</f>
        <v/>
      </c>
      <c r="K47" s="9">
        <f>J47*F47</f>
        <v/>
      </c>
      <c r="L47" s="9">
        <f>K47*100</f>
        <v/>
      </c>
      <c r="M47" s="9">
        <f>E47*F47</f>
        <v/>
      </c>
      <c r="N47" s="9">
        <f>D47/1.055</f>
        <v/>
      </c>
      <c r="O47" s="9">
        <f>N47-B47</f>
        <v/>
      </c>
      <c r="P47" s="9">
        <f>O47*F47</f>
        <v/>
      </c>
      <c r="Q47" s="9">
        <f>P47*100</f>
        <v/>
      </c>
      <c r="R47" s="9">
        <f>D47*F47</f>
        <v/>
      </c>
    </row>
    <row r="48" ht="15" customHeight="1" s="6">
      <c r="G48" s="7">
        <f>Q48/R48</f>
        <v/>
      </c>
      <c r="H48" s="7">
        <f>L48/M48</f>
        <v/>
      </c>
      <c r="I48" s="9">
        <f>E48/1.055</f>
        <v/>
      </c>
      <c r="J48" s="9">
        <f>I48-C48</f>
        <v/>
      </c>
      <c r="K48" s="9">
        <f>J48*F48</f>
        <v/>
      </c>
      <c r="L48" s="9">
        <f>K48*100</f>
        <v/>
      </c>
      <c r="M48" s="9">
        <f>E48*F48</f>
        <v/>
      </c>
      <c r="N48" s="9">
        <f>D48/1.055</f>
        <v/>
      </c>
      <c r="O48" s="9">
        <f>N48-B48</f>
        <v/>
      </c>
      <c r="P48" s="9">
        <f>O48*F48</f>
        <v/>
      </c>
      <c r="Q48" s="9">
        <f>P48*100</f>
        <v/>
      </c>
      <c r="R48" s="9">
        <f>D48*F48</f>
        <v/>
      </c>
    </row>
    <row r="49" ht="15" customHeight="1" s="6">
      <c r="G49" s="7">
        <f>Q49/R49</f>
        <v/>
      </c>
      <c r="H49" s="7">
        <f>L49/M49</f>
        <v/>
      </c>
      <c r="I49" s="9">
        <f>E49/1.055</f>
        <v/>
      </c>
      <c r="J49" s="9">
        <f>I49-C49</f>
        <v/>
      </c>
      <c r="K49" s="9">
        <f>J49*F49</f>
        <v/>
      </c>
      <c r="L49" s="9">
        <f>K49*100</f>
        <v/>
      </c>
      <c r="M49" s="9">
        <f>E49*F49</f>
        <v/>
      </c>
      <c r="N49" s="9">
        <f>D49/1.055</f>
        <v/>
      </c>
      <c r="O49" s="9">
        <f>N49-B49</f>
        <v/>
      </c>
      <c r="P49" s="9">
        <f>O49*F49</f>
        <v/>
      </c>
      <c r="Q49" s="9">
        <f>P49*100</f>
        <v/>
      </c>
      <c r="R49" s="9">
        <f>D49*F49</f>
        <v/>
      </c>
    </row>
    <row r="50" ht="15" customHeight="1" s="6">
      <c r="G50" s="7">
        <f>Q50/R50</f>
        <v/>
      </c>
      <c r="H50" s="7">
        <f>L50/M50</f>
        <v/>
      </c>
      <c r="I50" s="9">
        <f>E50/1.055</f>
        <v/>
      </c>
      <c r="J50" s="9">
        <f>I50-C50</f>
        <v/>
      </c>
      <c r="K50" s="9">
        <f>J50*F50</f>
        <v/>
      </c>
      <c r="L50" s="9">
        <f>K50*100</f>
        <v/>
      </c>
      <c r="M50" s="9">
        <f>E50*F50</f>
        <v/>
      </c>
      <c r="N50" s="9">
        <f>D50/1.055</f>
        <v/>
      </c>
      <c r="O50" s="9">
        <f>N50-B50</f>
        <v/>
      </c>
      <c r="P50" s="9">
        <f>O50*F50</f>
        <v/>
      </c>
      <c r="Q50" s="9">
        <f>P50*100</f>
        <v/>
      </c>
      <c r="R50" s="9">
        <f>D50*F50</f>
        <v/>
      </c>
    </row>
    <row r="51" ht="15" customHeight="1" s="6">
      <c r="G51" s="7">
        <f>Q51/R51</f>
        <v/>
      </c>
      <c r="H51" s="7">
        <f>L51/M51</f>
        <v/>
      </c>
      <c r="I51" s="9">
        <f>E51/1.055</f>
        <v/>
      </c>
      <c r="J51" s="9">
        <f>I51-C51</f>
        <v/>
      </c>
      <c r="K51" s="9">
        <f>J51*F51</f>
        <v/>
      </c>
      <c r="L51" s="9">
        <f>K51*100</f>
        <v/>
      </c>
      <c r="M51" s="9">
        <f>E51*F51</f>
        <v/>
      </c>
      <c r="N51" s="9">
        <f>D51/1.055</f>
        <v/>
      </c>
      <c r="O51" s="9">
        <f>N51-B51</f>
        <v/>
      </c>
      <c r="P51" s="9">
        <f>O51*F51</f>
        <v/>
      </c>
      <c r="Q51" s="9">
        <f>P51*100</f>
        <v/>
      </c>
      <c r="R51" s="9">
        <f>D51*F51</f>
        <v/>
      </c>
    </row>
  </sheetData>
  <conditionalFormatting sqref="E50">
    <cfRule type="cellIs" rank="0" priority="2" equalAverage="0" operator="lessThan" aboveAverage="0" dxfId="0" text="" percent="0" bottom="0">
      <formula>$D$50</formula>
    </cfRule>
  </conditionalFormatting>
  <conditionalFormatting sqref="D50">
    <cfRule type="cellIs" rank="0" priority="3" equalAverage="0" operator="lessThan" aboveAverage="0" dxfId="0" text="" percent="0" bottom="0">
      <formula>$E$50</formula>
    </cfRule>
  </conditionalFormatting>
  <conditionalFormatting sqref="E49">
    <cfRule type="cellIs" rank="0" priority="4" equalAverage="0" operator="lessThan" aboveAverage="0" dxfId="0" text="" percent="0" bottom="0">
      <formula>$D$49</formula>
    </cfRule>
  </conditionalFormatting>
  <conditionalFormatting sqref="D49">
    <cfRule type="cellIs" rank="0" priority="5" equalAverage="0" operator="lessThan" aboveAverage="0" dxfId="0" text="" percent="0" bottom="0">
      <formula>$E$49</formula>
    </cfRule>
  </conditionalFormatting>
  <conditionalFormatting sqref="E48">
    <cfRule type="cellIs" rank="0" priority="6" equalAverage="0" operator="lessThan" aboveAverage="0" dxfId="0" text="" percent="0" bottom="0">
      <formula>$D$48</formula>
    </cfRule>
  </conditionalFormatting>
  <conditionalFormatting sqref="D48">
    <cfRule type="cellIs" rank="0" priority="7" equalAverage="0" operator="lessThan" aboveAverage="0" dxfId="0" text="" percent="0" bottom="0">
      <formula>$E$48</formula>
    </cfRule>
  </conditionalFormatting>
  <conditionalFormatting sqref="E47">
    <cfRule type="cellIs" rank="0" priority="8" equalAverage="0" operator="lessThan" aboveAverage="0" dxfId="0" text="" percent="0" bottom="0">
      <formula>$D$47</formula>
    </cfRule>
  </conditionalFormatting>
  <conditionalFormatting sqref="D47">
    <cfRule type="cellIs" rank="0" priority="9" equalAverage="0" operator="lessThan" aboveAverage="0" dxfId="0" text="" percent="0" bottom="0">
      <formula>$E$47</formula>
    </cfRule>
  </conditionalFormatting>
  <conditionalFormatting sqref="E46">
    <cfRule type="cellIs" rank="0" priority="10" equalAverage="0" operator="lessThan" aboveAverage="0" dxfId="0" text="" percent="0" bottom="0">
      <formula>$D$46</formula>
    </cfRule>
  </conditionalFormatting>
  <conditionalFormatting sqref="D46">
    <cfRule type="cellIs" rank="0" priority="11" equalAverage="0" operator="lessThan" aboveAverage="0" dxfId="0" text="" percent="0" bottom="0">
      <formula>$E$46</formula>
    </cfRule>
  </conditionalFormatting>
  <conditionalFormatting sqref="E45">
    <cfRule type="cellIs" rank="0" priority="12" equalAverage="0" operator="lessThan" aboveAverage="0" dxfId="0" text="" percent="0" bottom="0">
      <formula>$D$45</formula>
    </cfRule>
  </conditionalFormatting>
  <conditionalFormatting sqref="D45">
    <cfRule type="cellIs" rank="0" priority="13" equalAverage="0" operator="lessThan" aboveAverage="0" dxfId="0" text="" percent="0" bottom="0">
      <formula>$E$45</formula>
    </cfRule>
  </conditionalFormatting>
  <conditionalFormatting sqref="E44">
    <cfRule type="cellIs" rank="0" priority="14" equalAverage="0" operator="lessThan" aboveAverage="0" dxfId="0" text="" percent="0" bottom="0">
      <formula>$D$44</formula>
    </cfRule>
  </conditionalFormatting>
  <conditionalFormatting sqref="D44">
    <cfRule type="cellIs" rank="0" priority="15" equalAverage="0" operator="lessThan" aboveAverage="0" dxfId="0" text="" percent="0" bottom="0">
      <formula>$E$44</formula>
    </cfRule>
  </conditionalFormatting>
  <conditionalFormatting sqref="E43">
    <cfRule type="cellIs" rank="0" priority="16" equalAverage="0" operator="lessThan" aboveAverage="0" dxfId="0" text="" percent="0" bottom="0">
      <formula>$D$43</formula>
    </cfRule>
  </conditionalFormatting>
  <conditionalFormatting sqref="D43">
    <cfRule type="cellIs" rank="0" priority="17" equalAverage="0" operator="lessThan" aboveAverage="0" dxfId="0" text="" percent="0" bottom="0">
      <formula>$E$43</formula>
    </cfRule>
  </conditionalFormatting>
  <conditionalFormatting sqref="E42">
    <cfRule type="cellIs" rank="0" priority="18" equalAverage="0" operator="lessThan" aboveAverage="0" dxfId="0" text="" percent="0" bottom="0">
      <formula>$D$42</formula>
    </cfRule>
  </conditionalFormatting>
  <conditionalFormatting sqref="D42">
    <cfRule type="cellIs" rank="0" priority="19" equalAverage="0" operator="lessThan" aboveAverage="0" dxfId="0" text="" percent="0" bottom="0">
      <formula>$E$42</formula>
    </cfRule>
  </conditionalFormatting>
  <conditionalFormatting sqref="E41">
    <cfRule type="cellIs" rank="0" priority="20" equalAverage="0" operator="lessThan" aboveAverage="0" dxfId="0" text="" percent="0" bottom="0">
      <formula>$D$41</formula>
    </cfRule>
  </conditionalFormatting>
  <conditionalFormatting sqref="D41">
    <cfRule type="cellIs" rank="0" priority="21" equalAverage="0" operator="lessThan" aboveAverage="0" dxfId="0" text="" percent="0" bottom="0">
      <formula>$E$41</formula>
    </cfRule>
  </conditionalFormatting>
  <conditionalFormatting sqref="E40">
    <cfRule type="cellIs" rank="0" priority="22" equalAverage="0" operator="lessThan" aboveAverage="0" dxfId="0" text="" percent="0" bottom="0">
      <formula>$D$40</formula>
    </cfRule>
  </conditionalFormatting>
  <conditionalFormatting sqref="D40">
    <cfRule type="cellIs" rank="0" priority="23" equalAverage="0" operator="lessThan" aboveAverage="0" dxfId="0" text="" percent="0" bottom="0">
      <formula>$E$40</formula>
    </cfRule>
  </conditionalFormatting>
  <conditionalFormatting sqref="E39">
    <cfRule type="cellIs" rank="0" priority="24" equalAverage="0" operator="lessThan" aboveAverage="0" dxfId="0" text="" percent="0" bottom="0">
      <formula>$D$39</formula>
    </cfRule>
  </conditionalFormatting>
  <conditionalFormatting sqref="D39">
    <cfRule type="cellIs" rank="0" priority="25" equalAverage="0" operator="lessThan" aboveAverage="0" dxfId="0" text="" percent="0" bottom="0">
      <formula>$E$39</formula>
    </cfRule>
  </conditionalFormatting>
  <conditionalFormatting sqref="E38">
    <cfRule type="cellIs" rank="0" priority="26" equalAverage="0" operator="lessThan" aboveAverage="0" dxfId="0" text="" percent="0" bottom="0">
      <formula>$D$38</formula>
    </cfRule>
  </conditionalFormatting>
  <conditionalFormatting sqref="D38">
    <cfRule type="cellIs" rank="0" priority="27" equalAverage="0" operator="lessThan" aboveAverage="0" dxfId="0" text="" percent="0" bottom="0">
      <formula>$E$38</formula>
    </cfRule>
  </conditionalFormatting>
  <conditionalFormatting sqref="E37">
    <cfRule type="cellIs" rank="0" priority="28" equalAverage="0" operator="lessThan" aboveAverage="0" dxfId="0" text="" percent="0" bottom="0">
      <formula>$D$37</formula>
    </cfRule>
  </conditionalFormatting>
  <conditionalFormatting sqref="D37">
    <cfRule type="cellIs" rank="0" priority="29" equalAverage="0" operator="lessThan" aboveAverage="0" dxfId="0" text="" percent="0" bottom="0">
      <formula>$E$37</formula>
    </cfRule>
  </conditionalFormatting>
  <conditionalFormatting sqref="E36">
    <cfRule type="cellIs" rank="0" priority="30" equalAverage="0" operator="lessThan" aboveAverage="0" dxfId="0" text="" percent="0" bottom="0">
      <formula>$D$36</formula>
    </cfRule>
  </conditionalFormatting>
  <conditionalFormatting sqref="D36">
    <cfRule type="cellIs" rank="0" priority="31" equalAverage="0" operator="lessThan" aboveAverage="0" dxfId="0" text="" percent="0" bottom="0">
      <formula>$E$36</formula>
    </cfRule>
  </conditionalFormatting>
  <conditionalFormatting sqref="E35">
    <cfRule type="cellIs" rank="0" priority="32" equalAverage="0" operator="lessThan" aboveAverage="0" dxfId="0" text="" percent="0" bottom="0">
      <formula>$D$35</formula>
    </cfRule>
  </conditionalFormatting>
  <conditionalFormatting sqref="D35">
    <cfRule type="cellIs" rank="0" priority="33" equalAverage="0" operator="lessThan" aboveAverage="0" dxfId="0" text="" percent="0" bottom="0">
      <formula>$E$35</formula>
    </cfRule>
  </conditionalFormatting>
  <conditionalFormatting sqref="E34">
    <cfRule type="cellIs" rank="0" priority="34" equalAverage="0" operator="lessThan" aboveAverage="0" dxfId="0" text="" percent="0" bottom="0">
      <formula>$D$34</formula>
    </cfRule>
  </conditionalFormatting>
  <conditionalFormatting sqref="D34">
    <cfRule type="cellIs" rank="0" priority="35" equalAverage="0" operator="lessThan" aboveAverage="0" dxfId="0" text="" percent="0" bottom="0">
      <formula>$E$34</formula>
    </cfRule>
  </conditionalFormatting>
  <conditionalFormatting sqref="E33">
    <cfRule type="cellIs" rank="0" priority="36" equalAverage="0" operator="lessThan" aboveAverage="0" dxfId="0" text="" percent="0" bottom="0">
      <formula>$D$33</formula>
    </cfRule>
  </conditionalFormatting>
  <conditionalFormatting sqref="D33">
    <cfRule type="cellIs" rank="0" priority="37" equalAverage="0" operator="lessThan" aboveAverage="0" dxfId="0" text="" percent="0" bottom="0">
      <formula>$E$33</formula>
    </cfRule>
  </conditionalFormatting>
  <conditionalFormatting sqref="E32">
    <cfRule type="cellIs" rank="0" priority="38" equalAverage="0" operator="lessThan" aboveAverage="0" dxfId="0" text="" percent="0" bottom="0">
      <formula>$D$32</formula>
    </cfRule>
  </conditionalFormatting>
  <conditionalFormatting sqref="D32">
    <cfRule type="cellIs" rank="0" priority="39" equalAverage="0" operator="lessThan" aboveAverage="0" dxfId="0" text="" percent="0" bottom="0">
      <formula>$E$32</formula>
    </cfRule>
  </conditionalFormatting>
  <conditionalFormatting sqref="E31">
    <cfRule type="cellIs" rank="0" priority="40" equalAverage="0" operator="lessThan" aboveAverage="0" dxfId="0" text="" percent="0" bottom="0">
      <formula>$D$31</formula>
    </cfRule>
  </conditionalFormatting>
  <conditionalFormatting sqref="D31">
    <cfRule type="cellIs" rank="0" priority="41" equalAverage="0" operator="lessThan" aboveAverage="0" dxfId="0" text="" percent="0" bottom="0">
      <formula>$E$31</formula>
    </cfRule>
  </conditionalFormatting>
  <conditionalFormatting sqref="E30">
    <cfRule type="cellIs" rank="0" priority="42" equalAverage="0" operator="lessThan" aboveAverage="0" dxfId="0" text="" percent="0" bottom="0">
      <formula>$D$30</formula>
    </cfRule>
  </conditionalFormatting>
  <conditionalFormatting sqref="D30">
    <cfRule type="cellIs" rank="0" priority="43" equalAverage="0" operator="lessThan" aboveAverage="0" dxfId="0" text="" percent="0" bottom="0">
      <formula>$E$30</formula>
    </cfRule>
  </conditionalFormatting>
  <conditionalFormatting sqref="E29">
    <cfRule type="cellIs" rank="0" priority="44" equalAverage="0" operator="lessThan" aboveAverage="0" dxfId="0" text="" percent="0" bottom="0">
      <formula>$D$29</formula>
    </cfRule>
  </conditionalFormatting>
  <conditionalFormatting sqref="D29">
    <cfRule type="cellIs" rank="0" priority="45" equalAverage="0" operator="lessThan" aboveAverage="0" dxfId="0" text="" percent="0" bottom="0">
      <formula>$E$29</formula>
    </cfRule>
  </conditionalFormatting>
  <conditionalFormatting sqref="E28">
    <cfRule type="cellIs" rank="0" priority="46" equalAverage="0" operator="lessThan" aboveAverage="0" dxfId="0" text="" percent="0" bottom="0">
      <formula>$D$28</formula>
    </cfRule>
  </conditionalFormatting>
  <conditionalFormatting sqref="D28">
    <cfRule type="cellIs" rank="0" priority="47" equalAverage="0" operator="lessThan" aboveAverage="0" dxfId="0" text="" percent="0" bottom="0">
      <formula>$E$28</formula>
    </cfRule>
  </conditionalFormatting>
  <conditionalFormatting sqref="E27">
    <cfRule type="cellIs" rank="0" priority="48" equalAverage="0" operator="lessThan" aboveAverage="0" dxfId="0" text="" percent="0" bottom="0">
      <formula>$D$27</formula>
    </cfRule>
  </conditionalFormatting>
  <conditionalFormatting sqref="D27">
    <cfRule type="cellIs" rank="0" priority="49" equalAverage="0" operator="lessThan" aboveAverage="0" dxfId="0" text="" percent="0" bottom="0">
      <formula>$E$27</formula>
    </cfRule>
  </conditionalFormatting>
  <conditionalFormatting sqref="E26">
    <cfRule type="cellIs" rank="0" priority="50" equalAverage="0" operator="lessThan" aboveAverage="0" dxfId="0" text="" percent="0" bottom="0">
      <formula>$D$26</formula>
    </cfRule>
  </conditionalFormatting>
  <conditionalFormatting sqref="D26">
    <cfRule type="cellIs" rank="0" priority="51" equalAverage="0" operator="lessThan" aboveAverage="0" dxfId="0" text="" percent="0" bottom="0">
      <formula>$E$26</formula>
    </cfRule>
  </conditionalFormatting>
  <conditionalFormatting sqref="E25">
    <cfRule type="cellIs" rank="0" priority="52" equalAverage="0" operator="lessThan" aboveAverage="0" dxfId="0" text="" percent="0" bottom="0">
      <formula>$D$25</formula>
    </cfRule>
  </conditionalFormatting>
  <conditionalFormatting sqref="D25">
    <cfRule type="cellIs" rank="0" priority="53" equalAverage="0" operator="lessThan" aboveAverage="0" dxfId="0" text="" percent="0" bottom="0">
      <formula>$E$25</formula>
    </cfRule>
  </conditionalFormatting>
  <conditionalFormatting sqref="E24">
    <cfRule type="cellIs" rank="0" priority="54" equalAverage="0" operator="lessThan" aboveAverage="0" dxfId="0" text="" percent="0" bottom="0">
      <formula>$D$24</formula>
    </cfRule>
  </conditionalFormatting>
  <conditionalFormatting sqref="D24">
    <cfRule type="cellIs" rank="0" priority="55" equalAverage="0" operator="lessThan" aboveAverage="0" dxfId="0" text="" percent="0" bottom="0">
      <formula>$E$24</formula>
    </cfRule>
  </conditionalFormatting>
  <conditionalFormatting sqref="E23">
    <cfRule type="cellIs" rank="0" priority="56" equalAverage="0" operator="lessThan" aboveAverage="0" dxfId="0" text="" percent="0" bottom="0">
      <formula>$D$23</formula>
    </cfRule>
  </conditionalFormatting>
  <conditionalFormatting sqref="D23">
    <cfRule type="cellIs" rank="0" priority="57" equalAverage="0" operator="lessThan" aboveAverage="0" dxfId="0" text="" percent="0" bottom="0">
      <formula>$E$23</formula>
    </cfRule>
  </conditionalFormatting>
  <conditionalFormatting sqref="E22">
    <cfRule type="cellIs" rank="0" priority="58" equalAverage="0" operator="lessThan" aboveAverage="0" dxfId="0" text="" percent="0" bottom="0">
      <formula>$D$22</formula>
    </cfRule>
  </conditionalFormatting>
  <conditionalFormatting sqref="D22">
    <cfRule type="cellIs" rank="0" priority="59" equalAverage="0" operator="lessThan" aboveAverage="0" dxfId="0" text="" percent="0" bottom="0">
      <formula>$E$22</formula>
    </cfRule>
  </conditionalFormatting>
  <conditionalFormatting sqref="E21">
    <cfRule type="cellIs" rank="0" priority="60" equalAverage="0" operator="lessThan" aboveAverage="0" dxfId="0" text="" percent="0" bottom="0">
      <formula>$D$21</formula>
    </cfRule>
  </conditionalFormatting>
  <conditionalFormatting sqref="D21">
    <cfRule type="cellIs" rank="0" priority="61" equalAverage="0" operator="lessThan" aboveAverage="0" dxfId="0" text="" percent="0" bottom="0">
      <formula>$E$21</formula>
    </cfRule>
  </conditionalFormatting>
  <conditionalFormatting sqref="E20">
    <cfRule type="cellIs" rank="0" priority="62" equalAverage="0" operator="lessThan" aboveAverage="0" dxfId="0" text="" percent="0" bottom="0">
      <formula>$D$20</formula>
    </cfRule>
  </conditionalFormatting>
  <conditionalFormatting sqref="D20">
    <cfRule type="cellIs" rank="0" priority="63" equalAverage="0" operator="lessThan" aboveAverage="0" dxfId="0" text="" percent="0" bottom="0">
      <formula>$E$20</formula>
    </cfRule>
  </conditionalFormatting>
  <conditionalFormatting sqref="E19">
    <cfRule type="cellIs" rank="0" priority="64" equalAverage="0" operator="lessThan" aboveAverage="0" dxfId="0" text="" percent="0" bottom="0">
      <formula>$D$19</formula>
    </cfRule>
  </conditionalFormatting>
  <conditionalFormatting sqref="D19">
    <cfRule type="cellIs" rank="0" priority="65" equalAverage="0" operator="lessThan" aboveAverage="0" dxfId="0" text="" percent="0" bottom="0">
      <formula>$E$19</formula>
    </cfRule>
  </conditionalFormatting>
  <conditionalFormatting sqref="E18">
    <cfRule type="cellIs" rank="0" priority="66" equalAverage="0" operator="lessThan" aboveAverage="0" dxfId="0" text="" percent="0" bottom="0">
      <formula>$D$18</formula>
    </cfRule>
  </conditionalFormatting>
  <conditionalFormatting sqref="D18">
    <cfRule type="cellIs" rank="0" priority="67" equalAverage="0" operator="lessThan" aboveAverage="0" dxfId="0" text="" percent="0" bottom="0">
      <formula>$E$18</formula>
    </cfRule>
  </conditionalFormatting>
  <conditionalFormatting sqref="E17">
    <cfRule type="cellIs" rank="0" priority="68" equalAverage="0" operator="lessThan" aboveAverage="0" dxfId="0" text="" percent="0" bottom="0">
      <formula>$D$17</formula>
    </cfRule>
  </conditionalFormatting>
  <conditionalFormatting sqref="D17">
    <cfRule type="cellIs" rank="0" priority="69" equalAverage="0" operator="lessThan" aboveAverage="0" dxfId="0" text="" percent="0" bottom="0">
      <formula>$E$17</formula>
    </cfRule>
  </conditionalFormatting>
  <conditionalFormatting sqref="E16">
    <cfRule type="cellIs" rank="0" priority="70" equalAverage="0" operator="lessThan" aboveAverage="0" dxfId="0" text="" percent="0" bottom="0">
      <formula>$D$16</formula>
    </cfRule>
  </conditionalFormatting>
  <conditionalFormatting sqref="D16">
    <cfRule type="cellIs" rank="0" priority="71" equalAverage="0" operator="lessThan" aboveAverage="0" dxfId="0" text="" percent="0" bottom="0">
      <formula>$E$16</formula>
    </cfRule>
  </conditionalFormatting>
  <conditionalFormatting sqref="E15">
    <cfRule type="cellIs" rank="0" priority="72" equalAverage="0" operator="lessThan" aboveAverage="0" dxfId="0" text="" percent="0" bottom="0">
      <formula>$D$15</formula>
    </cfRule>
  </conditionalFormatting>
  <conditionalFormatting sqref="D15">
    <cfRule type="cellIs" rank="0" priority="73" equalAverage="0" operator="lessThan" aboveAverage="0" dxfId="0" text="" percent="0" bottom="0">
      <formula>$E$15</formula>
    </cfRule>
  </conditionalFormatting>
  <conditionalFormatting sqref="E14">
    <cfRule type="cellIs" rank="0" priority="74" equalAverage="0" operator="lessThan" aboveAverage="0" dxfId="0" text="" percent="0" bottom="0">
      <formula>$D$14</formula>
    </cfRule>
  </conditionalFormatting>
  <conditionalFormatting sqref="D14">
    <cfRule type="cellIs" rank="0" priority="75" equalAverage="0" operator="lessThan" aboveAverage="0" dxfId="0" text="" percent="0" bottom="0">
      <formula>$E$14</formula>
    </cfRule>
  </conditionalFormatting>
  <conditionalFormatting sqref="E13">
    <cfRule type="cellIs" rank="0" priority="76" equalAverage="0" operator="lessThan" aboveAverage="0" dxfId="0" text="" percent="0" bottom="0">
      <formula>$D$13</formula>
    </cfRule>
  </conditionalFormatting>
  <conditionalFormatting sqref="D13">
    <cfRule type="cellIs" rank="0" priority="77" equalAverage="0" operator="lessThan" aboveAverage="0" dxfId="0" text="" percent="0" bottom="0">
      <formula>$E$13</formula>
    </cfRule>
  </conditionalFormatting>
  <conditionalFormatting sqref="E12">
    <cfRule type="cellIs" rank="0" priority="78" equalAverage="0" operator="lessThan" aboveAverage="0" dxfId="0" text="" percent="0" bottom="0">
      <formula>$D$12</formula>
    </cfRule>
  </conditionalFormatting>
  <conditionalFormatting sqref="D12">
    <cfRule type="cellIs" rank="0" priority="79" equalAverage="0" operator="lessThan" aboveAverage="0" dxfId="0" text="" percent="0" bottom="0">
      <formula>$E$12</formula>
    </cfRule>
  </conditionalFormatting>
  <conditionalFormatting sqref="E11">
    <cfRule type="cellIs" rank="0" priority="80" equalAverage="0" operator="lessThan" aboveAverage="0" dxfId="0" text="" percent="0" bottom="0">
      <formula>$D$11</formula>
    </cfRule>
  </conditionalFormatting>
  <conditionalFormatting sqref="D11">
    <cfRule type="cellIs" rank="0" priority="81" equalAverage="0" operator="lessThan" aboveAverage="0" dxfId="0" text="" percent="0" bottom="0">
      <formula>$E$11</formula>
    </cfRule>
  </conditionalFormatting>
  <conditionalFormatting sqref="E10">
    <cfRule type="cellIs" rank="0" priority="82" equalAverage="0" operator="lessThan" aboveAverage="0" dxfId="0" text="" percent="0" bottom="0">
      <formula>$D$10</formula>
    </cfRule>
  </conditionalFormatting>
  <conditionalFormatting sqref="D10">
    <cfRule type="cellIs" rank="0" priority="83" equalAverage="0" operator="lessThan" aboveAverage="0" dxfId="0" text="" percent="0" bottom="0">
      <formula>$E$10</formula>
    </cfRule>
  </conditionalFormatting>
  <conditionalFormatting sqref="E9">
    <cfRule type="cellIs" rank="0" priority="84" equalAverage="0" operator="lessThan" aboveAverage="0" dxfId="0" text="" percent="0" bottom="0">
      <formula>$D$9</formula>
    </cfRule>
  </conditionalFormatting>
  <conditionalFormatting sqref="D9">
    <cfRule type="cellIs" rank="0" priority="85" equalAverage="0" operator="lessThan" aboveAverage="0" dxfId="0" text="" percent="0" bottom="0">
      <formula>$E$9</formula>
    </cfRule>
  </conditionalFormatting>
  <conditionalFormatting sqref="E8">
    <cfRule type="cellIs" rank="0" priority="86" equalAverage="0" operator="lessThan" aboveAverage="0" dxfId="0" text="" percent="0" bottom="0">
      <formula>$D$8</formula>
    </cfRule>
  </conditionalFormatting>
  <conditionalFormatting sqref="D8">
    <cfRule type="cellIs" rank="0" priority="87" equalAverage="0" operator="lessThan" aboveAverage="0" dxfId="0" text="" percent="0" bottom="0">
      <formula>$E$8</formula>
    </cfRule>
  </conditionalFormatting>
  <conditionalFormatting sqref="E7">
    <cfRule type="cellIs" rank="0" priority="88" equalAverage="0" operator="lessThan" aboveAverage="0" dxfId="0" text="" percent="0" bottom="0">
      <formula>$D$7</formula>
    </cfRule>
  </conditionalFormatting>
  <conditionalFormatting sqref="D7">
    <cfRule type="cellIs" rank="0" priority="89" equalAverage="0" operator="lessThan" aboveAverage="0" dxfId="0" text="" percent="0" bottom="0">
      <formula>$E$7</formula>
    </cfRule>
  </conditionalFormatting>
  <conditionalFormatting sqref="E6">
    <cfRule type="cellIs" rank="0" priority="90" equalAverage="0" operator="lessThan" aboveAverage="0" dxfId="0" text="" percent="0" bottom="0">
      <formula>$D$6</formula>
    </cfRule>
  </conditionalFormatting>
  <conditionalFormatting sqref="D6">
    <cfRule type="cellIs" rank="0" priority="91" equalAverage="0" operator="lessThan" aboveAverage="0" dxfId="0" text="" percent="0" bottom="0">
      <formula>$E$6</formula>
    </cfRule>
  </conditionalFormatting>
  <conditionalFormatting sqref="E5">
    <cfRule type="cellIs" rank="0" priority="92" equalAverage="0" operator="lessThan" aboveAverage="0" dxfId="0" text="" percent="0" bottom="0">
      <formula>$D$5</formula>
    </cfRule>
  </conditionalFormatting>
  <conditionalFormatting sqref="D5">
    <cfRule type="cellIs" rank="0" priority="93" equalAverage="0" operator="lessThan" aboveAverage="0" dxfId="0" text="" percent="0" bottom="0">
      <formula>$E$5</formula>
    </cfRule>
  </conditionalFormatting>
  <conditionalFormatting sqref="E4">
    <cfRule type="cellIs" rank="0" priority="94" equalAverage="0" operator="lessThan" aboveAverage="0" dxfId="0" text="" percent="0" bottom="0">
      <formula>$D$4</formula>
    </cfRule>
  </conditionalFormatting>
  <conditionalFormatting sqref="D4">
    <cfRule type="cellIs" rank="0" priority="95" equalAverage="0" operator="lessThan" aboveAverage="0" dxfId="0" text="" percent="0" bottom="0">
      <formula>$E$4</formula>
    </cfRule>
  </conditionalFormatting>
  <conditionalFormatting sqref="C50">
    <cfRule type="cellIs" rank="0" priority="96" equalAverage="0" operator="lessThan" aboveAverage="0" dxfId="0" text="" percent="0" bottom="0">
      <formula>$B$50</formula>
    </cfRule>
  </conditionalFormatting>
  <conditionalFormatting sqref="B50">
    <cfRule type="cellIs" rank="0" priority="97" equalAverage="0" operator="lessThan" aboveAverage="0" dxfId="0" text="" percent="0" bottom="0">
      <formula>$C$50</formula>
    </cfRule>
  </conditionalFormatting>
  <conditionalFormatting sqref="C49">
    <cfRule type="cellIs" rank="0" priority="98" equalAverage="0" operator="lessThan" aboveAverage="0" dxfId="0" text="" percent="0" bottom="0">
      <formula>$B$49</formula>
    </cfRule>
  </conditionalFormatting>
  <conditionalFormatting sqref="B49">
    <cfRule type="cellIs" rank="0" priority="99" equalAverage="0" operator="lessThan" aboveAverage="0" dxfId="0" text="" percent="0" bottom="0">
      <formula>$C$49</formula>
    </cfRule>
  </conditionalFormatting>
  <conditionalFormatting sqref="C48">
    <cfRule type="cellIs" rank="0" priority="100" equalAverage="0" operator="lessThan" aboveAverage="0" dxfId="0" text="" percent="0" bottom="0">
      <formula>$B$48</formula>
    </cfRule>
  </conditionalFormatting>
  <conditionalFormatting sqref="B48">
    <cfRule type="cellIs" rank="0" priority="101" equalAverage="0" operator="lessThan" aboveAverage="0" dxfId="0" text="" percent="0" bottom="0">
      <formula>$C$48</formula>
    </cfRule>
  </conditionalFormatting>
  <conditionalFormatting sqref="C47">
    <cfRule type="cellIs" rank="0" priority="102" equalAverage="0" operator="lessThan" aboveAverage="0" dxfId="0" text="" percent="0" bottom="0">
      <formula>$B$47</formula>
    </cfRule>
  </conditionalFormatting>
  <conditionalFormatting sqref="B47">
    <cfRule type="cellIs" rank="0" priority="103" equalAverage="0" operator="lessThan" aboveAverage="0" dxfId="0" text="" percent="0" bottom="0">
      <formula>$C$47</formula>
    </cfRule>
  </conditionalFormatting>
  <conditionalFormatting sqref="C46">
    <cfRule type="cellIs" rank="0" priority="104" equalAverage="0" operator="lessThan" aboveAverage="0" dxfId="0" text="" percent="0" bottom="0">
      <formula>$B$46</formula>
    </cfRule>
  </conditionalFormatting>
  <conditionalFormatting sqref="B46">
    <cfRule type="cellIs" rank="0" priority="105" equalAverage="0" operator="lessThan" aboveAverage="0" dxfId="0" text="" percent="0" bottom="0">
      <formula>$C$46</formula>
    </cfRule>
  </conditionalFormatting>
  <conditionalFormatting sqref="C45">
    <cfRule type="cellIs" rank="0" priority="106" equalAverage="0" operator="lessThan" aboveAverage="0" dxfId="0" text="" percent="0" bottom="0">
      <formula>$B$45</formula>
    </cfRule>
  </conditionalFormatting>
  <conditionalFormatting sqref="B45">
    <cfRule type="cellIs" rank="0" priority="107" equalAverage="0" operator="lessThan" aboveAverage="0" dxfId="0" text="" percent="0" bottom="0">
      <formula>$C$45</formula>
    </cfRule>
  </conditionalFormatting>
  <conditionalFormatting sqref="C44">
    <cfRule type="cellIs" rank="0" priority="108" equalAverage="0" operator="lessThan" aboveAverage="0" dxfId="0" text="" percent="0" bottom="0">
      <formula>$B$44</formula>
    </cfRule>
  </conditionalFormatting>
  <conditionalFormatting sqref="B44">
    <cfRule type="cellIs" rank="0" priority="109" equalAverage="0" operator="lessThan" aboveAverage="0" dxfId="0" text="" percent="0" bottom="0">
      <formula>$C$44</formula>
    </cfRule>
  </conditionalFormatting>
  <conditionalFormatting sqref="C43">
    <cfRule type="cellIs" rank="0" priority="110" equalAverage="0" operator="lessThan" aboveAverage="0" dxfId="0" text="" percent="0" bottom="0">
      <formula>$B$43</formula>
    </cfRule>
  </conditionalFormatting>
  <conditionalFormatting sqref="B43">
    <cfRule type="cellIs" rank="0" priority="111" equalAverage="0" operator="lessThan" aboveAverage="0" dxfId="0" text="" percent="0" bottom="0">
      <formula>$C$43</formula>
    </cfRule>
  </conditionalFormatting>
  <conditionalFormatting sqref="C42">
    <cfRule type="cellIs" rank="0" priority="112" equalAverage="0" operator="lessThan" aboveAverage="0" dxfId="0" text="" percent="0" bottom="0">
      <formula>$B$42</formula>
    </cfRule>
  </conditionalFormatting>
  <conditionalFormatting sqref="B42">
    <cfRule type="cellIs" rank="0" priority="113" equalAverage="0" operator="lessThan" aboveAverage="0" dxfId="0" text="" percent="0" bottom="0">
      <formula>$C$42</formula>
    </cfRule>
  </conditionalFormatting>
  <conditionalFormatting sqref="C41">
    <cfRule type="cellIs" rank="0" priority="114" equalAverage="0" operator="lessThan" aboveAverage="0" dxfId="0" text="" percent="0" bottom="0">
      <formula>$B$41</formula>
    </cfRule>
  </conditionalFormatting>
  <conditionalFormatting sqref="B41">
    <cfRule type="cellIs" rank="0" priority="115" equalAverage="0" operator="lessThan" aboveAverage="0" dxfId="0" text="" percent="0" bottom="0">
      <formula>$C$41</formula>
    </cfRule>
  </conditionalFormatting>
  <conditionalFormatting sqref="C40">
    <cfRule type="cellIs" rank="0" priority="116" equalAverage="0" operator="lessThan" aboveAverage="0" dxfId="0" text="" percent="0" bottom="0">
      <formula>$B$40</formula>
    </cfRule>
  </conditionalFormatting>
  <conditionalFormatting sqref="B40">
    <cfRule type="cellIs" rank="0" priority="117" equalAverage="0" operator="lessThan" aboveAverage="0" dxfId="0" text="" percent="0" bottom="0">
      <formula>$C$40</formula>
    </cfRule>
  </conditionalFormatting>
  <conditionalFormatting sqref="C39">
    <cfRule type="cellIs" rank="0" priority="118" equalAverage="0" operator="lessThan" aboveAverage="0" dxfId="0" text="" percent="0" bottom="0">
      <formula>$B$39</formula>
    </cfRule>
  </conditionalFormatting>
  <conditionalFormatting sqref="B39">
    <cfRule type="cellIs" rank="0" priority="119" equalAverage="0" operator="lessThan" aboveAverage="0" dxfId="0" text="" percent="0" bottom="0">
      <formula>$C$39</formula>
    </cfRule>
  </conditionalFormatting>
  <conditionalFormatting sqref="C38">
    <cfRule type="cellIs" rank="0" priority="120" equalAverage="0" operator="lessThan" aboveAverage="0" dxfId="0" text="" percent="0" bottom="0">
      <formula>$B$38</formula>
    </cfRule>
  </conditionalFormatting>
  <conditionalFormatting sqref="B38">
    <cfRule type="cellIs" rank="0" priority="121" equalAverage="0" operator="lessThan" aboveAverage="0" dxfId="0" text="" percent="0" bottom="0">
      <formula>$C$38</formula>
    </cfRule>
  </conditionalFormatting>
  <conditionalFormatting sqref="C37">
    <cfRule type="cellIs" rank="0" priority="122" equalAverage="0" operator="lessThan" aboveAverage="0" dxfId="0" text="" percent="0" bottom="0">
      <formula>$B$37</formula>
    </cfRule>
  </conditionalFormatting>
  <conditionalFormatting sqref="B37">
    <cfRule type="cellIs" rank="0" priority="123" equalAverage="0" operator="lessThan" aboveAverage="0" dxfId="0" text="" percent="0" bottom="0">
      <formula>$C$37</formula>
    </cfRule>
  </conditionalFormatting>
  <conditionalFormatting sqref="C36">
    <cfRule type="cellIs" rank="0" priority="124" equalAverage="0" operator="lessThan" aboveAverage="0" dxfId="0" text="" percent="0" bottom="0">
      <formula>$B$36</formula>
    </cfRule>
  </conditionalFormatting>
  <conditionalFormatting sqref="B36">
    <cfRule type="cellIs" rank="0" priority="125" equalAverage="0" operator="lessThan" aboveAverage="0" dxfId="0" text="" percent="0" bottom="0">
      <formula>$C$36</formula>
    </cfRule>
  </conditionalFormatting>
  <conditionalFormatting sqref="C35">
    <cfRule type="cellIs" rank="0" priority="126" equalAverage="0" operator="lessThan" aboveAverage="0" dxfId="0" text="" percent="0" bottom="0">
      <formula>$B$35</formula>
    </cfRule>
  </conditionalFormatting>
  <conditionalFormatting sqref="B35">
    <cfRule type="cellIs" rank="0" priority="127" equalAverage="0" operator="lessThan" aboveAverage="0" dxfId="0" text="" percent="0" bottom="0">
      <formula>$C$35</formula>
    </cfRule>
  </conditionalFormatting>
  <conditionalFormatting sqref="C34">
    <cfRule type="cellIs" rank="0" priority="128" equalAverage="0" operator="lessThan" aboveAverage="0" dxfId="0" text="" percent="0" bottom="0">
      <formula>$B$34</formula>
    </cfRule>
  </conditionalFormatting>
  <conditionalFormatting sqref="B34">
    <cfRule type="cellIs" rank="0" priority="129" equalAverage="0" operator="lessThan" aboveAverage="0" dxfId="0" text="" percent="0" bottom="0">
      <formula>$C$34</formula>
    </cfRule>
  </conditionalFormatting>
  <conditionalFormatting sqref="C33">
    <cfRule type="cellIs" rank="0" priority="130" equalAverage="0" operator="lessThan" aboveAverage="0" dxfId="0" text="" percent="0" bottom="0">
      <formula>$B$33</formula>
    </cfRule>
  </conditionalFormatting>
  <conditionalFormatting sqref="B33">
    <cfRule type="cellIs" rank="0" priority="131" equalAverage="0" operator="lessThan" aboveAverage="0" dxfId="0" text="" percent="0" bottom="0">
      <formula>$C$33</formula>
    </cfRule>
  </conditionalFormatting>
  <conditionalFormatting sqref="C32">
    <cfRule type="cellIs" rank="0" priority="132" equalAverage="0" operator="lessThan" aboveAverage="0" dxfId="0" text="" percent="0" bottom="0">
      <formula>$B$32</formula>
    </cfRule>
  </conditionalFormatting>
  <conditionalFormatting sqref="B32">
    <cfRule type="cellIs" rank="0" priority="133" equalAverage="0" operator="lessThan" aboveAverage="0" dxfId="0" text="" percent="0" bottom="0">
      <formula>$C$32</formula>
    </cfRule>
  </conditionalFormatting>
  <conditionalFormatting sqref="C31">
    <cfRule type="cellIs" rank="0" priority="134" equalAverage="0" operator="lessThan" aboveAverage="0" dxfId="0" text="" percent="0" bottom="0">
      <formula>$B$31</formula>
    </cfRule>
  </conditionalFormatting>
  <conditionalFormatting sqref="B31">
    <cfRule type="cellIs" rank="0" priority="135" equalAverage="0" operator="lessThan" aboveAverage="0" dxfId="0" text="" percent="0" bottom="0">
      <formula>$C$31</formula>
    </cfRule>
  </conditionalFormatting>
  <conditionalFormatting sqref="C30">
    <cfRule type="cellIs" rank="0" priority="136" equalAverage="0" operator="lessThan" aboveAverage="0" dxfId="0" text="" percent="0" bottom="0">
      <formula>$B$30</formula>
    </cfRule>
  </conditionalFormatting>
  <conditionalFormatting sqref="B30">
    <cfRule type="cellIs" rank="0" priority="137" equalAverage="0" operator="lessThan" aboveAverage="0" dxfId="0" text="" percent="0" bottom="0">
      <formula>$C$30</formula>
    </cfRule>
  </conditionalFormatting>
  <conditionalFormatting sqref="C29">
    <cfRule type="cellIs" rank="0" priority="138" equalAverage="0" operator="lessThan" aboveAverage="0" dxfId="0" text="" percent="0" bottom="0">
      <formula>$B$29</formula>
    </cfRule>
  </conditionalFormatting>
  <conditionalFormatting sqref="B29">
    <cfRule type="cellIs" rank="0" priority="139" equalAverage="0" operator="lessThan" aboveAverage="0" dxfId="0" text="" percent="0" bottom="0">
      <formula>$C$29</formula>
    </cfRule>
  </conditionalFormatting>
  <conditionalFormatting sqref="C28">
    <cfRule type="cellIs" rank="0" priority="140" equalAverage="0" operator="lessThan" aboveAverage="0" dxfId="0" text="" percent="0" bottom="0">
      <formula>$B$28</formula>
    </cfRule>
  </conditionalFormatting>
  <conditionalFormatting sqref="B28">
    <cfRule type="cellIs" rank="0" priority="141" equalAverage="0" operator="lessThan" aboveAverage="0" dxfId="0" text="" percent="0" bottom="0">
      <formula>$C$28</formula>
    </cfRule>
  </conditionalFormatting>
  <conditionalFormatting sqref="C27">
    <cfRule type="cellIs" rank="0" priority="142" equalAverage="0" operator="lessThan" aboveAverage="0" dxfId="0" text="" percent="0" bottom="0">
      <formula>$B$27</formula>
    </cfRule>
  </conditionalFormatting>
  <conditionalFormatting sqref="B27">
    <cfRule type="cellIs" rank="0" priority="143" equalAverage="0" operator="lessThan" aboveAverage="0" dxfId="0" text="" percent="0" bottom="0">
      <formula>$C$27</formula>
    </cfRule>
  </conditionalFormatting>
  <conditionalFormatting sqref="C26">
    <cfRule type="cellIs" rank="0" priority="144" equalAverage="0" operator="lessThan" aboveAverage="0" dxfId="0" text="" percent="0" bottom="0">
      <formula>$B$26</formula>
    </cfRule>
  </conditionalFormatting>
  <conditionalFormatting sqref="B26">
    <cfRule type="cellIs" rank="0" priority="145" equalAverage="0" operator="lessThan" aboveAverage="0" dxfId="0" text="" percent="0" bottom="0">
      <formula>$C$26</formula>
    </cfRule>
  </conditionalFormatting>
  <conditionalFormatting sqref="C25">
    <cfRule type="cellIs" rank="0" priority="146" equalAverage="0" operator="lessThan" aboveAverage="0" dxfId="0" text="" percent="0" bottom="0">
      <formula>$B$25</formula>
    </cfRule>
  </conditionalFormatting>
  <conditionalFormatting sqref="B25">
    <cfRule type="cellIs" rank="0" priority="147" equalAverage="0" operator="lessThan" aboveAverage="0" dxfId="0" text="" percent="0" bottom="0">
      <formula>$C$25</formula>
    </cfRule>
  </conditionalFormatting>
  <conditionalFormatting sqref="C24">
    <cfRule type="cellIs" rank="0" priority="148" equalAverage="0" operator="lessThan" aboveAverage="0" dxfId="0" text="" percent="0" bottom="0">
      <formula>$B$24</formula>
    </cfRule>
  </conditionalFormatting>
  <conditionalFormatting sqref="B24">
    <cfRule type="cellIs" rank="0" priority="149" equalAverage="0" operator="lessThan" aboveAverage="0" dxfId="0" text="" percent="0" bottom="0">
      <formula>$C$24</formula>
    </cfRule>
  </conditionalFormatting>
  <conditionalFormatting sqref="C23">
    <cfRule type="cellIs" rank="0" priority="150" equalAverage="0" operator="lessThan" aboveAverage="0" dxfId="0" text="" percent="0" bottom="0">
      <formula>$B$23</formula>
    </cfRule>
  </conditionalFormatting>
  <conditionalFormatting sqref="B23">
    <cfRule type="cellIs" rank="0" priority="151" equalAverage="0" operator="lessThan" aboveAverage="0" dxfId="0" text="" percent="0" bottom="0">
      <formula>$C$23</formula>
    </cfRule>
  </conditionalFormatting>
  <conditionalFormatting sqref="C22">
    <cfRule type="cellIs" rank="0" priority="152" equalAverage="0" operator="lessThan" aboveAverage="0" dxfId="0" text="" percent="0" bottom="0">
      <formula>$B$22</formula>
    </cfRule>
  </conditionalFormatting>
  <conditionalFormatting sqref="B22">
    <cfRule type="cellIs" rank="0" priority="153" equalAverage="0" operator="lessThan" aboveAverage="0" dxfId="0" text="" percent="0" bottom="0">
      <formula>$C$22</formula>
    </cfRule>
  </conditionalFormatting>
  <conditionalFormatting sqref="C21">
    <cfRule type="cellIs" rank="0" priority="154" equalAverage="0" operator="lessThan" aboveAverage="0" dxfId="0" text="" percent="0" bottom="0">
      <formula>$B$21</formula>
    </cfRule>
  </conditionalFormatting>
  <conditionalFormatting sqref="B21">
    <cfRule type="cellIs" rank="0" priority="155" equalAverage="0" operator="lessThan" aboveAverage="0" dxfId="0" text="" percent="0" bottom="0">
      <formula>$C$21</formula>
    </cfRule>
  </conditionalFormatting>
  <conditionalFormatting sqref="C20">
    <cfRule type="cellIs" rank="0" priority="156" equalAverage="0" operator="lessThan" aboveAverage="0" dxfId="0" text="" percent="0" bottom="0">
      <formula>$B$20</formula>
    </cfRule>
  </conditionalFormatting>
  <conditionalFormatting sqref="B20">
    <cfRule type="cellIs" rank="0" priority="157" equalAverage="0" operator="lessThan" aboveAverage="0" dxfId="0" text="" percent="0" bottom="0">
      <formula>$C$20</formula>
    </cfRule>
  </conditionalFormatting>
  <conditionalFormatting sqref="B19">
    <cfRule type="cellIs" rank="0" priority="158" equalAverage="0" operator="lessThan" aboveAverage="0" dxfId="0" text="" percent="0" bottom="0">
      <formula>$C$19</formula>
    </cfRule>
  </conditionalFormatting>
  <conditionalFormatting sqref="C19">
    <cfRule type="cellIs" rank="0" priority="159" equalAverage="0" operator="lessThan" aboveAverage="0" dxfId="0" text="" percent="0" bottom="0">
      <formula>$B$19</formula>
    </cfRule>
  </conditionalFormatting>
  <conditionalFormatting sqref="C18">
    <cfRule type="cellIs" rank="0" priority="160" equalAverage="0" operator="lessThan" aboveAverage="0" dxfId="0" text="" percent="0" bottom="0">
      <formula>$B$18</formula>
    </cfRule>
  </conditionalFormatting>
  <conditionalFormatting sqref="B18">
    <cfRule type="cellIs" rank="0" priority="161" equalAverage="0" operator="lessThan" aboveAverage="0" dxfId="0" text="" percent="0" bottom="0">
      <formula>$C$18</formula>
    </cfRule>
  </conditionalFormatting>
  <conditionalFormatting sqref="C17">
    <cfRule type="cellIs" rank="0" priority="162" equalAverage="0" operator="lessThan" aboveAverage="0" dxfId="0" text="" percent="0" bottom="0">
      <formula>$B$17</formula>
    </cfRule>
  </conditionalFormatting>
  <conditionalFormatting sqref="B17">
    <cfRule type="cellIs" rank="0" priority="163" equalAverage="0" operator="lessThan" aboveAverage="0" dxfId="0" text="" percent="0" bottom="0">
      <formula>$C$17</formula>
    </cfRule>
  </conditionalFormatting>
  <conditionalFormatting sqref="C16">
    <cfRule type="cellIs" rank="0" priority="164" equalAverage="0" operator="lessThan" aboveAverage="0" dxfId="0" text="" percent="0" bottom="0">
      <formula>$B$16</formula>
    </cfRule>
  </conditionalFormatting>
  <conditionalFormatting sqref="B16">
    <cfRule type="cellIs" rank="0" priority="165" equalAverage="0" operator="lessThan" aboveAverage="0" dxfId="0" text="" percent="0" bottom="0">
      <formula>$C$16</formula>
    </cfRule>
  </conditionalFormatting>
  <conditionalFormatting sqref="C15">
    <cfRule type="cellIs" rank="0" priority="166" equalAverage="0" operator="lessThan" aboveAverage="0" dxfId="0" text="" percent="0" bottom="0">
      <formula>$B$15</formula>
    </cfRule>
  </conditionalFormatting>
  <conditionalFormatting sqref="B15">
    <cfRule type="cellIs" rank="0" priority="167" equalAverage="0" operator="lessThan" aboveAverage="0" dxfId="0" text="" percent="0" bottom="0">
      <formula>$C$15</formula>
    </cfRule>
  </conditionalFormatting>
  <conditionalFormatting sqref="C14">
    <cfRule type="cellIs" rank="0" priority="168" equalAverage="0" operator="lessThan" aboveAverage="0" dxfId="0" text="" percent="0" bottom="0">
      <formula>$B$14</formula>
    </cfRule>
  </conditionalFormatting>
  <conditionalFormatting sqref="B14">
    <cfRule type="cellIs" rank="0" priority="169" equalAverage="0" operator="lessThan" aboveAverage="0" dxfId="0" text="" percent="0" bottom="0">
      <formula>$C$14</formula>
    </cfRule>
  </conditionalFormatting>
  <conditionalFormatting sqref="C13">
    <cfRule type="cellIs" rank="0" priority="170" equalAverage="0" operator="lessThan" aboveAverage="0" dxfId="0" text="" percent="0" bottom="0">
      <formula>$B$13</formula>
    </cfRule>
  </conditionalFormatting>
  <conditionalFormatting sqref="B13">
    <cfRule type="cellIs" rank="0" priority="171" equalAverage="0" operator="lessThan" aboveAverage="0" dxfId="0" text="" percent="0" bottom="0">
      <formula>$C$13</formula>
    </cfRule>
  </conditionalFormatting>
  <conditionalFormatting sqref="C12">
    <cfRule type="cellIs" rank="0" priority="172" equalAverage="0" operator="lessThan" aboveAverage="0" dxfId="0" text="" percent="0" bottom="0">
      <formula>$B$12</formula>
    </cfRule>
  </conditionalFormatting>
  <conditionalFormatting sqref="B12">
    <cfRule type="cellIs" rank="0" priority="173" equalAverage="0" operator="lessThan" aboveAverage="0" dxfId="0" text="" percent="0" bottom="0">
      <formula>$C$12</formula>
    </cfRule>
  </conditionalFormatting>
  <conditionalFormatting sqref="C11">
    <cfRule type="cellIs" rank="0" priority="174" equalAverage="0" operator="lessThan" aboveAverage="0" dxfId="0" text="" percent="0" bottom="0">
      <formula>$B$11</formula>
    </cfRule>
  </conditionalFormatting>
  <conditionalFormatting sqref="B11">
    <cfRule type="cellIs" rank="0" priority="175" equalAverage="0" operator="lessThan" aboveAverage="0" dxfId="0" text="" percent="0" bottom="0">
      <formula>$C$11</formula>
    </cfRule>
  </conditionalFormatting>
  <conditionalFormatting sqref="C10">
    <cfRule type="cellIs" rank="0" priority="176" equalAverage="0" operator="lessThan" aboveAverage="0" dxfId="0" text="" percent="0" bottom="0">
      <formula>$B$10</formula>
    </cfRule>
  </conditionalFormatting>
  <conditionalFormatting sqref="B10">
    <cfRule type="cellIs" rank="0" priority="177" equalAverage="0" operator="lessThan" aboveAverage="0" dxfId="0" text="" percent="0" bottom="0">
      <formula>$C$10</formula>
    </cfRule>
  </conditionalFormatting>
  <conditionalFormatting sqref="C9">
    <cfRule type="cellIs" rank="0" priority="178" equalAverage="0" operator="lessThan" aboveAverage="0" dxfId="0" text="" percent="0" bottom="0">
      <formula>$B$9</formula>
    </cfRule>
  </conditionalFormatting>
  <conditionalFormatting sqref="B9">
    <cfRule type="cellIs" rank="0" priority="179" equalAverage="0" operator="lessThan" aboveAverage="0" dxfId="0" text="" percent="0" bottom="0">
      <formula>$C$9</formula>
    </cfRule>
  </conditionalFormatting>
  <conditionalFormatting sqref="C8">
    <cfRule type="cellIs" rank="0" priority="180" equalAverage="0" operator="lessThan" aboveAverage="0" dxfId="0" text="" percent="0" bottom="0">
      <formula>$B$8</formula>
    </cfRule>
  </conditionalFormatting>
  <conditionalFormatting sqref="B8">
    <cfRule type="cellIs" rank="0" priority="181" equalAverage="0" operator="lessThan" aboveAverage="0" dxfId="0" text="" percent="0" bottom="0">
      <formula>$C$8</formula>
    </cfRule>
  </conditionalFormatting>
  <conditionalFormatting sqref="C7">
    <cfRule type="cellIs" rank="0" priority="182" equalAverage="0" operator="lessThan" aboveAverage="0" dxfId="0" text="" percent="0" bottom="0">
      <formula>$B$7</formula>
    </cfRule>
  </conditionalFormatting>
  <conditionalFormatting sqref="B7">
    <cfRule type="cellIs" rank="0" priority="183" equalAverage="0" operator="lessThan" aboveAverage="0" dxfId="0" text="" percent="0" bottom="0">
      <formula>$C$7</formula>
    </cfRule>
  </conditionalFormatting>
  <conditionalFormatting sqref="C6">
    <cfRule type="cellIs" rank="0" priority="184" equalAverage="0" operator="lessThan" aboveAverage="0" dxfId="0" text="" percent="0" bottom="0">
      <formula>$B$6</formula>
    </cfRule>
  </conditionalFormatting>
  <conditionalFormatting sqref="B6">
    <cfRule type="cellIs" rank="0" priority="185" equalAverage="0" operator="lessThan" aboveAverage="0" dxfId="0" text="" percent="0" bottom="0">
      <formula>$C$6</formula>
    </cfRule>
  </conditionalFormatting>
  <conditionalFormatting sqref="C5">
    <cfRule type="cellIs" rank="0" priority="186" equalAverage="0" operator="lessThan" aboveAverage="0" dxfId="0" text="" percent="0" bottom="0">
      <formula>$B$5</formula>
    </cfRule>
  </conditionalFormatting>
  <conditionalFormatting sqref="B5">
    <cfRule type="cellIs" rank="0" priority="187" equalAverage="0" operator="lessThan" aboveAverage="0" dxfId="0" text="" percent="0" bottom="0">
      <formula>$C$5</formula>
    </cfRule>
  </conditionalFormatting>
  <conditionalFormatting sqref="C4">
    <cfRule type="cellIs" rank="0" priority="188" equalAverage="0" operator="lessThan" aboveAverage="0" dxfId="0" text="" percent="0" bottom="0">
      <formula>$B$4</formula>
    </cfRule>
  </conditionalFormatting>
  <conditionalFormatting sqref="B4">
    <cfRule type="cellIs" rank="0" priority="189" equalAverage="0" operator="lessThan" aboveAverage="0" dxfId="0" text="" percent="0" bottom="0">
      <formula>$C$4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***</dc:creator>
  <dc:language xmlns:dc="http://purl.org/dc/elements/1.1/">fr-FR</dc:language>
  <dcterms:created xmlns:dcterms="http://purl.org/dc/terms/" xmlns:xsi="http://www.w3.org/2001/XMLSchema-instance" xsi:type="dcterms:W3CDTF">2026-09-01T08:01:24Z</dcterms:created>
  <dcterms:modified xmlns:dcterms="http://purl.org/dc/terms/" xmlns:xsi="http://www.w3.org/2001/XMLSchema-instance" xsi:type="dcterms:W3CDTF">2026-09-09T04:27:45Z</dcterms:modified>
  <cp:revision>2</cp:revision>
</cp:coreProperties>
</file>